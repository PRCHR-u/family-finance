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8FA71A3A-6957-45FB-A200-831058F1995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7" i="1" l="1"/>
  <c r="P34" i="1"/>
  <c r="P29" i="1"/>
  <c r="P26" i="1"/>
  <c r="O20" i="1"/>
  <c r="N10" i="1"/>
  <c r="F124" i="1"/>
  <c r="E122" i="1"/>
  <c r="E121" i="1"/>
  <c r="E120" i="1"/>
  <c r="E119" i="1"/>
  <c r="E118" i="1"/>
  <c r="E117" i="1"/>
  <c r="F115" i="1"/>
  <c r="H113" i="1"/>
  <c r="H112" i="1"/>
  <c r="H111" i="1"/>
  <c r="C110" i="1"/>
  <c r="H110" i="1" s="1"/>
  <c r="C109" i="1"/>
  <c r="H109" i="1" s="1"/>
  <c r="C108" i="1"/>
  <c r="H108" i="1" s="1"/>
  <c r="H107" i="1"/>
  <c r="H106" i="1"/>
  <c r="C105" i="1"/>
  <c r="H105" i="1" s="1"/>
  <c r="G103" i="1"/>
  <c r="F102" i="1"/>
  <c r="G102" i="1" s="1"/>
  <c r="G101" i="1"/>
  <c r="H100" i="1"/>
  <c r="G100" i="1"/>
  <c r="H98" i="1"/>
  <c r="H97" i="1"/>
  <c r="H96" i="1"/>
  <c r="H95" i="1"/>
  <c r="G94" i="1"/>
  <c r="H94" i="1" s="1"/>
  <c r="G93" i="1"/>
  <c r="D93" i="1"/>
  <c r="G92" i="1"/>
  <c r="D92" i="1"/>
  <c r="H91" i="1"/>
  <c r="H90" i="1"/>
  <c r="H89" i="1"/>
  <c r="D88" i="1"/>
  <c r="H88" i="1" s="1"/>
  <c r="H87" i="1"/>
  <c r="H86" i="1"/>
  <c r="D85" i="1"/>
  <c r="H85" i="1" s="1"/>
  <c r="H84" i="1"/>
  <c r="H83" i="1"/>
  <c r="G82" i="1"/>
  <c r="H82" i="1" s="1"/>
  <c r="H81" i="1"/>
  <c r="G80" i="1"/>
  <c r="H80" i="1" s="1"/>
  <c r="H79" i="1"/>
  <c r="H78" i="1"/>
  <c r="G77" i="1"/>
  <c r="D77" i="1"/>
  <c r="H76" i="1"/>
  <c r="H75" i="1"/>
  <c r="H74" i="1"/>
  <c r="D73" i="1"/>
  <c r="H73" i="1" s="1"/>
  <c r="H72" i="1"/>
  <c r="H71" i="1"/>
  <c r="H70" i="1"/>
  <c r="H69" i="1"/>
  <c r="H68" i="1"/>
  <c r="H67" i="1"/>
  <c r="G56" i="1"/>
  <c r="G55" i="1"/>
  <c r="G65" i="1"/>
  <c r="G64" i="1"/>
  <c r="G63" i="1"/>
  <c r="G62" i="1"/>
  <c r="G61" i="1"/>
  <c r="G60" i="1"/>
  <c r="G59" i="1"/>
  <c r="G58" i="1"/>
  <c r="G57" i="1"/>
  <c r="H53" i="1"/>
  <c r="H52" i="1"/>
  <c r="H51" i="1"/>
  <c r="H50" i="1"/>
  <c r="H49" i="1"/>
  <c r="I46" i="1"/>
  <c r="I44" i="1"/>
  <c r="H48" i="1"/>
  <c r="I45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29" i="1"/>
  <c r="I28" i="1"/>
  <c r="I27" i="1"/>
  <c r="I26" i="1"/>
  <c r="I25" i="1"/>
  <c r="I24" i="1"/>
  <c r="I23" i="1"/>
  <c r="I22" i="1"/>
  <c r="I21" i="1"/>
  <c r="I20" i="1"/>
  <c r="I19" i="1"/>
  <c r="I17" i="1"/>
  <c r="I16" i="1"/>
  <c r="I14" i="1"/>
  <c r="I13" i="1"/>
  <c r="I6" i="1"/>
  <c r="I3" i="1"/>
  <c r="J3" i="1" s="1"/>
  <c r="G124" i="1" l="1"/>
  <c r="H125" i="1" s="1"/>
  <c r="I125" i="1" s="1"/>
  <c r="F121" i="1"/>
  <c r="F119" i="1"/>
  <c r="F120" i="1"/>
  <c r="F122" i="1"/>
  <c r="F118" i="1"/>
  <c r="G115" i="1"/>
  <c r="F117" i="1"/>
  <c r="I112" i="1"/>
  <c r="I113" i="1"/>
  <c r="I111" i="1"/>
  <c r="I110" i="1"/>
  <c r="I109" i="1"/>
  <c r="I108" i="1"/>
  <c r="I107" i="1"/>
  <c r="I105" i="1"/>
  <c r="I106" i="1"/>
  <c r="H102" i="1"/>
  <c r="H103" i="1"/>
  <c r="H101" i="1"/>
  <c r="I101" i="1" s="1"/>
  <c r="H93" i="1"/>
  <c r="I94" i="1" s="1"/>
  <c r="I98" i="1"/>
  <c r="I97" i="1"/>
  <c r="I96" i="1"/>
  <c r="I95" i="1"/>
  <c r="I90" i="1"/>
  <c r="I91" i="1"/>
  <c r="H92" i="1"/>
  <c r="I92" i="1" s="1"/>
  <c r="I87" i="1"/>
  <c r="I88" i="1"/>
  <c r="I89" i="1"/>
  <c r="I86" i="1"/>
  <c r="I85" i="1"/>
  <c r="I84" i="1"/>
  <c r="J40" i="1"/>
  <c r="I83" i="1"/>
  <c r="I80" i="1"/>
  <c r="I79" i="1"/>
  <c r="I82" i="1"/>
  <c r="I81" i="1"/>
  <c r="H77" i="1"/>
  <c r="I76" i="1"/>
  <c r="I75" i="1"/>
  <c r="I72" i="1"/>
  <c r="I71" i="1"/>
  <c r="I73" i="1"/>
  <c r="I74" i="1"/>
  <c r="I70" i="1"/>
  <c r="I67" i="1"/>
  <c r="I69" i="1"/>
  <c r="I68" i="1"/>
  <c r="H56" i="1"/>
  <c r="H65" i="1"/>
  <c r="H64" i="1"/>
  <c r="H63" i="1"/>
  <c r="H61" i="1"/>
  <c r="H62" i="1"/>
  <c r="H58" i="1"/>
  <c r="H57" i="1"/>
  <c r="H59" i="1"/>
  <c r="H60" i="1"/>
  <c r="I53" i="1"/>
  <c r="I52" i="1"/>
  <c r="I50" i="1"/>
  <c r="I51" i="1"/>
  <c r="I49" i="1"/>
  <c r="I48" i="1"/>
  <c r="J45" i="1"/>
  <c r="J44" i="1"/>
  <c r="J46" i="1"/>
  <c r="J43" i="1"/>
  <c r="J41" i="1"/>
  <c r="J42" i="1"/>
  <c r="J39" i="1"/>
  <c r="J37" i="1"/>
  <c r="J38" i="1"/>
  <c r="J34" i="1"/>
  <c r="J35" i="1"/>
  <c r="J33" i="1"/>
  <c r="J36" i="1"/>
  <c r="J32" i="1"/>
  <c r="J31" i="1"/>
  <c r="J29" i="1"/>
  <c r="J28" i="1"/>
  <c r="J25" i="1"/>
  <c r="J26" i="1"/>
  <c r="J27" i="1"/>
  <c r="J24" i="1"/>
  <c r="J22" i="1"/>
  <c r="J23" i="1"/>
  <c r="J20" i="1"/>
  <c r="J21" i="1"/>
  <c r="J19" i="1"/>
  <c r="J17" i="1"/>
  <c r="J6" i="1"/>
  <c r="J13" i="1"/>
  <c r="J14" i="1"/>
  <c r="J16" i="1"/>
  <c r="G118" i="1" l="1"/>
  <c r="G120" i="1"/>
  <c r="J112" i="1"/>
  <c r="J114" i="1"/>
  <c r="J109" i="1"/>
  <c r="J106" i="1"/>
  <c r="I103" i="1"/>
  <c r="I93" i="1"/>
  <c r="J92" i="1" s="1"/>
  <c r="J87" i="1"/>
  <c r="I77" i="1"/>
  <c r="J74" i="1" s="1"/>
  <c r="I78" i="1"/>
  <c r="J79" i="1" s="1"/>
  <c r="J68" i="1"/>
  <c r="I64" i="1"/>
  <c r="I57" i="1"/>
  <c r="K47" i="1"/>
  <c r="K39" i="1"/>
  <c r="K33" i="1"/>
  <c r="K29" i="1"/>
  <c r="K23" i="1"/>
  <c r="K20" i="1"/>
  <c r="K14" i="1"/>
  <c r="K5" i="1" s="1"/>
  <c r="K50" i="1" s="1"/>
  <c r="K114" i="1" l="1"/>
  <c r="K106" i="1"/>
  <c r="K92" i="1"/>
  <c r="K74" i="1"/>
  <c r="J59" i="1"/>
  <c r="K54" i="1"/>
  <c r="K52" i="1"/>
  <c r="K57" i="1" l="1"/>
  <c r="L115" i="1"/>
</calcChain>
</file>

<file path=xl/sharedStrings.xml><?xml version="1.0" encoding="utf-8"?>
<sst xmlns="http://schemas.openxmlformats.org/spreadsheetml/2006/main" count="141" uniqueCount="72">
  <si>
    <t>СБЕР</t>
  </si>
  <si>
    <t>АЛЬФА</t>
  </si>
  <si>
    <t>МТС1</t>
  </si>
  <si>
    <t>МТС2</t>
  </si>
  <si>
    <t>подсчёт до</t>
  </si>
  <si>
    <t>прверить</t>
  </si>
  <si>
    <t>72919.,75</t>
  </si>
  <si>
    <t>ВСЕГО</t>
  </si>
  <si>
    <t>КРЕДИТ</t>
  </si>
  <si>
    <t>разница</t>
  </si>
  <si>
    <t>min</t>
  </si>
  <si>
    <t>TOTAL</t>
  </si>
  <si>
    <t>MOM'S BDAY</t>
  </si>
  <si>
    <t>ПРОСРОЧКИ!!!</t>
  </si>
  <si>
    <t>Т-БАНК</t>
  </si>
  <si>
    <t xml:space="preserve"> </t>
  </si>
  <si>
    <t>ОЛЯ</t>
  </si>
  <si>
    <t>изменение долга за месяц (АВГУСТ)</t>
  </si>
  <si>
    <t>изменение долга за месяц (СЕНТЯБРЬ)</t>
  </si>
  <si>
    <t>изменение долга за месяц (ИЮЛЬ)</t>
  </si>
  <si>
    <t>изменение долга за месяц (ИЮНЬ)</t>
  </si>
  <si>
    <t>изменение долга за месяц (май)</t>
  </si>
  <si>
    <t>изменение долга за месяц (апрель)</t>
  </si>
  <si>
    <t>изменение долга за месяц (ОКТЯБРЬ)</t>
  </si>
  <si>
    <t>изменение долга за месяц (НОЯБРЬ)</t>
  </si>
  <si>
    <t xml:space="preserve">ДОЛГ ЗА ВЕСНУ </t>
  </si>
  <si>
    <t xml:space="preserve">ДОЛГ ЗА ЛЕТО </t>
  </si>
  <si>
    <t>ДОЛГ ЗА ОСЕНЬ</t>
  </si>
  <si>
    <t>(-44 297,86</t>
  </si>
  <si>
    <t>изменение долга за месяц (ДЕКАБРЬ)</t>
  </si>
  <si>
    <t>изменение долга за месяц (ЯНВАРЬ)</t>
  </si>
  <si>
    <t xml:space="preserve">ДОЛГ ЗА ЗИМУ </t>
  </si>
  <si>
    <t>изменение долга за месяц (ФЕВРАЛЬ)</t>
  </si>
  <si>
    <t>ДОЛГ ЗА 2024 ГОД</t>
  </si>
  <si>
    <t>изменение долга за месяц (МАРТ)</t>
  </si>
  <si>
    <t>изменение долга за месяц (АПРЕЛЬ)</t>
  </si>
  <si>
    <t>изменение долга за месяц (МАЙ)</t>
  </si>
  <si>
    <t>ОЛЯ сбер</t>
  </si>
  <si>
    <t>ОЛЯ т-банк</t>
  </si>
  <si>
    <t xml:space="preserve">ДОЛГ ЗА ОСЕНЬ </t>
  </si>
  <si>
    <t>Оля СБЕР</t>
  </si>
  <si>
    <t>ДОЛГ ЗА 2025 ГОД</t>
  </si>
  <si>
    <t>копилка</t>
  </si>
  <si>
    <t>АПРЕЛЬ</t>
  </si>
  <si>
    <t>ДОЛГ ЗА ВЕСНУ</t>
  </si>
  <si>
    <t>Доход</t>
  </si>
  <si>
    <t>сколько</t>
  </si>
  <si>
    <t>когда</t>
  </si>
  <si>
    <t>стипендия</t>
  </si>
  <si>
    <t>зп</t>
  </si>
  <si>
    <t>олин отец</t>
  </si>
  <si>
    <t xml:space="preserve">ВСЕГО </t>
  </si>
  <si>
    <t>аванс</t>
  </si>
  <si>
    <t>склад</t>
  </si>
  <si>
    <t>ОБЯЗАТЕЛЬНЫЕ ТРАТЫ</t>
  </si>
  <si>
    <t>СКОЛЬКО</t>
  </si>
  <si>
    <t>ДАТА</t>
  </si>
  <si>
    <t>АРЕНДА</t>
  </si>
  <si>
    <t>Папа др</t>
  </si>
  <si>
    <t>годовщина</t>
  </si>
  <si>
    <t>до 25.04</t>
  </si>
  <si>
    <t>мама др</t>
  </si>
  <si>
    <t>коммуналка</t>
  </si>
  <si>
    <t>Оля др</t>
  </si>
  <si>
    <t>Апрель</t>
  </si>
  <si>
    <t>Май</t>
  </si>
  <si>
    <t>Июнь</t>
  </si>
  <si>
    <t>Белка</t>
  </si>
  <si>
    <t>17.04-20.04</t>
  </si>
  <si>
    <t>TOEFL</t>
  </si>
  <si>
    <t>неизвестно</t>
  </si>
  <si>
    <t>Июль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</si>
</sst>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#,##0\ &quot;₽&quot;;[Red]\-#,##0\ &quot;₽&quot;"/>
    <numFmt numFmtId="44" formatCode="_-* #,##0.00\ &quot;₽&quot;_-;\-* #,##0.00\ &quot;₽&quot;_-;_-* &quot;-&quot;??\ &quot;₽&quot;_-;_-@_-"/>
    <numFmt numFmtId="164" formatCode="#,##0.00\ &quot;₽&quot;"/>
    <numFmt numFmtId="165" formatCode="_-* #,##0.00\ [$₽-419]_-;\-* #,##0.00\ [$₽-419]_-;_-* &quot;-&quot;??\ [$₽-419]_-;_-@_-"/>
  </numFmts>
  <fonts count="9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00B050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theme="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399975585192419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7">
    <xf numFmtId="0" fontId="0" fillId="0" borderId="0"/>
    <xf numFmtId="0" fontId="2" fillId="0" borderId="1" applyNumberFormat="0" applyFill="0" applyAlignment="0" applyProtection="0"/>
    <xf numFmtId="0" fontId="5" fillId="0" borderId="0" applyNumberFormat="0" applyFill="0" applyBorder="0" applyAlignment="0" applyProtection="0"/>
    <xf numFmtId="0" fontId="6" fillId="14" borderId="3" applyNumberFormat="0" applyAlignment="0" applyProtection="0"/>
    <xf numFmtId="0" fontId="7" fillId="15" borderId="4" applyNumberFormat="0" applyAlignment="0" applyProtection="0"/>
    <xf numFmtId="44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67">
    <xf numFmtId="0" fontId="0" fillId="0" borderId="0" xfId="0"/>
    <xf numFmtId="0" fontId="0" fillId="2" borderId="0" xfId="0" applyFill="1"/>
    <xf numFmtId="14" fontId="0" fillId="0" borderId="0" xfId="0" applyNumberFormat="1"/>
    <xf numFmtId="16" fontId="0" fillId="2" borderId="0" xfId="0" applyNumberFormat="1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16" fontId="0" fillId="0" borderId="0" xfId="0" applyNumberFormat="1"/>
    <xf numFmtId="0" fontId="0" fillId="6" borderId="2" xfId="0" applyFill="1" applyBorder="1"/>
    <xf numFmtId="0" fontId="0" fillId="8" borderId="0" xfId="0" applyFill="1" applyAlignment="1">
      <alignment horizontal="right" indent="1"/>
    </xf>
    <xf numFmtId="164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0" fillId="5" borderId="2" xfId="0" applyFill="1" applyBorder="1"/>
    <xf numFmtId="0" fontId="1" fillId="0" borderId="0" xfId="0" applyFont="1" applyAlignment="1">
      <alignment horizontal="left"/>
    </xf>
    <xf numFmtId="0" fontId="0" fillId="9" borderId="0" xfId="0" applyFill="1"/>
    <xf numFmtId="0" fontId="0" fillId="10" borderId="2" xfId="0" applyFill="1" applyBorder="1"/>
    <xf numFmtId="0" fontId="0" fillId="0" borderId="2" xfId="0" applyBorder="1"/>
    <xf numFmtId="16" fontId="5" fillId="0" borderId="0" xfId="2" applyNumberFormat="1"/>
    <xf numFmtId="0" fontId="5" fillId="0" borderId="0" xfId="2"/>
    <xf numFmtId="6" fontId="0" fillId="0" borderId="0" xfId="0" applyNumberFormat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7" fillId="15" borderId="4" xfId="4"/>
    <xf numFmtId="0" fontId="6" fillId="14" borderId="3" xfId="3"/>
    <xf numFmtId="164" fontId="3" fillId="0" borderId="0" xfId="0" applyNumberFormat="1" applyFont="1" applyAlignment="1">
      <alignment horizontal="left"/>
    </xf>
    <xf numFmtId="164" fontId="0" fillId="3" borderId="0" xfId="0" applyNumberFormat="1" applyFill="1"/>
    <xf numFmtId="164" fontId="0" fillId="4" borderId="0" xfId="0" applyNumberFormat="1" applyFill="1"/>
    <xf numFmtId="164" fontId="0" fillId="7" borderId="0" xfId="0" applyNumberFormat="1" applyFill="1"/>
    <xf numFmtId="2" fontId="0" fillId="4" borderId="0" xfId="0" applyNumberFormat="1" applyFill="1"/>
    <xf numFmtId="2" fontId="0" fillId="7" borderId="0" xfId="0" applyNumberFormat="1" applyFill="1"/>
    <xf numFmtId="2" fontId="0" fillId="3" borderId="0" xfId="0" applyNumberFormat="1" applyFill="1"/>
    <xf numFmtId="2" fontId="0" fillId="16" borderId="0" xfId="0" applyNumberFormat="1" applyFill="1"/>
    <xf numFmtId="2" fontId="0" fillId="0" borderId="0" xfId="5" applyNumberFormat="1" applyFont="1"/>
    <xf numFmtId="44" fontId="0" fillId="0" borderId="0" xfId="5" applyFont="1"/>
    <xf numFmtId="0" fontId="1" fillId="0" borderId="0" xfId="0" applyFont="1"/>
    <xf numFmtId="2" fontId="3" fillId="0" borderId="0" xfId="0" applyNumberFormat="1" applyFont="1" applyAlignment="1">
      <alignment horizontal="left"/>
    </xf>
    <xf numFmtId="2" fontId="0" fillId="3" borderId="0" xfId="0" applyNumberFormat="1" applyFill="1" applyAlignment="1">
      <alignment horizontal="center"/>
    </xf>
    <xf numFmtId="164" fontId="1" fillId="0" borderId="0" xfId="0" applyNumberFormat="1" applyFont="1" applyAlignment="1">
      <alignment horizontal="center"/>
    </xf>
    <xf numFmtId="2" fontId="0" fillId="7" borderId="0" xfId="0" applyNumberFormat="1" applyFill="1" applyAlignment="1">
      <alignment horizontal="center"/>
    </xf>
    <xf numFmtId="2" fontId="1" fillId="0" borderId="0" xfId="0" applyNumberFormat="1" applyFont="1" applyAlignment="1">
      <alignment horizontal="left"/>
    </xf>
    <xf numFmtId="2" fontId="0" fillId="6" borderId="2" xfId="5" applyNumberFormat="1" applyFont="1" applyFill="1" applyBorder="1"/>
    <xf numFmtId="44" fontId="0" fillId="0" borderId="0" xfId="5" applyFont="1" applyFill="1"/>
    <xf numFmtId="165" fontId="0" fillId="0" borderId="0" xfId="5" applyNumberFormat="1" applyFont="1" applyFill="1"/>
    <xf numFmtId="2" fontId="0" fillId="0" borderId="0" xfId="0" applyNumberFormat="1"/>
    <xf numFmtId="2" fontId="1" fillId="0" borderId="0" xfId="0" applyNumberFormat="1" applyFont="1"/>
    <xf numFmtId="165" fontId="0" fillId="0" borderId="0" xfId="0" applyNumberFormat="1"/>
    <xf numFmtId="16" fontId="1" fillId="0" borderId="0" xfId="0" applyNumberFormat="1" applyFont="1"/>
    <xf numFmtId="2" fontId="0" fillId="7" borderId="0" xfId="6" applyNumberFormat="1" applyFont="1" applyFill="1" applyAlignment="1">
      <alignment horizontal="center"/>
    </xf>
    <xf numFmtId="2" fontId="0" fillId="7" borderId="0" xfId="5" applyNumberFormat="1" applyFont="1" applyFill="1" applyAlignment="1">
      <alignment horizontal="center"/>
    </xf>
    <xf numFmtId="2" fontId="0" fillId="3" borderId="0" xfId="5" applyNumberFormat="1" applyFont="1" applyFill="1" applyAlignment="1">
      <alignment horizontal="center"/>
    </xf>
    <xf numFmtId="2" fontId="0" fillId="5" borderId="0" xfId="0" applyNumberFormat="1" applyFill="1"/>
    <xf numFmtId="16" fontId="0" fillId="17" borderId="0" xfId="0" applyNumberFormat="1" applyFill="1"/>
    <xf numFmtId="0" fontId="0" fillId="17" borderId="0" xfId="0" applyFill="1"/>
    <xf numFmtId="2" fontId="3" fillId="17" borderId="0" xfId="0" applyNumberFormat="1" applyFont="1" applyFill="1" applyAlignment="1">
      <alignment horizontal="left"/>
    </xf>
    <xf numFmtId="0" fontId="2" fillId="3" borderId="1" xfId="1" applyFill="1" applyAlignment="1">
      <alignment horizontal="center"/>
    </xf>
    <xf numFmtId="0" fontId="0" fillId="18" borderId="0" xfId="0" applyFill="1"/>
    <xf numFmtId="2" fontId="0" fillId="0" borderId="0" xfId="0" applyNumberFormat="1" applyAlignment="1">
      <alignment horizontal="left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16" fontId="1" fillId="0" borderId="0" xfId="0" applyNumberFormat="1" applyFont="1" applyAlignment="1">
      <alignment horizontal="center"/>
    </xf>
    <xf numFmtId="0" fontId="0" fillId="4" borderId="0" xfId="0" applyFill="1" applyAlignment="1">
      <alignment horizontal="center"/>
    </xf>
    <xf numFmtId="44" fontId="1" fillId="0" borderId="0" xfId="5" applyFont="1"/>
  </cellXfs>
  <cellStyles count="7">
    <cellStyle name="Вывод" xfId="3" builtinId="21"/>
    <cellStyle name="Гиперссылка" xfId="2" builtinId="8"/>
    <cellStyle name="Денежный" xfId="5" builtinId="4"/>
    <cellStyle name="Итог" xfId="1" builtinId="25"/>
    <cellStyle name="Контрольная ячейка" xfId="4" builtinId="23"/>
    <cellStyle name="Обычный" xfId="0" builtinId="0"/>
    <cellStyle name="Процентный" xfId="6" builtinId="5"/>
  </cellStyles>
  <dxfs count="4">
    <dxf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5" tint="0.39997558519241921"/>
        </patternFill>
      </fill>
    </dxf>
    <dxf>
      <numFmt numFmtId="21" formatCode="dd/mmm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36101A-46CA-4633-8125-4EBF6243BDB8}" name="Таблица2" displayName="Таблица2" ref="L6:N10" totalsRowCount="1">
  <autoFilter ref="L6:N9" xr:uid="{BE36101A-46CA-4633-8125-4EBF6243BDB8}"/>
  <tableColumns count="3">
    <tableColumn id="1" xr3:uid="{47983937-66E1-4960-A49C-302500E6D072}" name="min" totalsRowLabel="АПРЕЛЬ" totalsRowDxfId="2"/>
    <tableColumn id="4" xr3:uid="{2187CEB1-611F-41BA-B64C-27499A137F0A}" name="СБЕР"/>
    <tableColumn id="7" xr3:uid="{79BC580A-78B6-4C2C-8089-1E90F4B04CA7}" name="TOTAL" totalsRowFunction="custom" dataDxfId="3" totalsRowDxfId="1">
      <calculatedColumnFormula>SUM(#REF!)</calculatedColumnFormula>
      <totalsRowFormula>M7</totalsRowFormula>
    </tableColumn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19F6BB-A4B6-4E50-9AAC-6DD9BC99E539}" name="Таблица1" displayName="Таблица1" ref="M13:O20" totalsRowShown="0">
  <autoFilter ref="M13:O20" xr:uid="{5F19F6BB-A4B6-4E50-9AAC-6DD9BC99E539}"/>
  <tableColumns count="3">
    <tableColumn id="1" xr3:uid="{CA8DA381-C95A-41F4-B542-BA6A50D28E92}" name="Доход"/>
    <tableColumn id="2" xr3:uid="{748FDEE7-48E4-444E-8785-55B8FB017098}" name="сколько"/>
    <tableColumn id="3" xr3:uid="{65A3ECC8-E6F5-43B1-B0C0-FFCEB692C67B}" name="когда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E7B3D41-5E48-47EC-B5A1-F34D9C28FAE5}" name="Таблица3" displayName="Таблица3" ref="M23:P37" totalsRowShown="0">
  <autoFilter ref="M23:P37" xr:uid="{CE7B3D41-5E48-47EC-B5A1-F34D9C28FAE5}"/>
  <tableColumns count="4">
    <tableColumn id="1" xr3:uid="{E994749F-7147-4D50-A468-060AFE6865C4}" name="ОБЯЗАТЕЛЬНЫЕ ТРАТЫ"/>
    <tableColumn id="2" xr3:uid="{D90DCB55-CAC6-40D4-9069-4969490C8EB6}" name="СКОЛЬКО"/>
    <tableColumn id="3" xr3:uid="{C2F2E451-7420-48AE-B83A-EB1E7DFA0615}" name="ДАТА" dataDxfId="0"/>
    <tableColumn id="4" xr3:uid="{BB7AAEF7-156C-467F-8623-62BC59A943C4}" name="ВСЕГО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565"/>
  <sheetViews>
    <sheetView tabSelected="1" zoomScale="90" zoomScaleNormal="48" workbookViewId="0">
      <selection activeCell="G127" sqref="G127"/>
    </sheetView>
  </sheetViews>
  <sheetFormatPr defaultRowHeight="14.4" x14ac:dyDescent="0.3"/>
  <cols>
    <col min="1" max="1" width="11.5546875" customWidth="1"/>
    <col min="2" max="2" width="11.33203125" customWidth="1"/>
    <col min="3" max="3" width="11.6640625" customWidth="1"/>
    <col min="4" max="5" width="11.5546875" customWidth="1"/>
    <col min="6" max="6" width="10.5546875" customWidth="1"/>
    <col min="7" max="7" width="34.5546875" customWidth="1"/>
    <col min="8" max="8" width="33.21875" customWidth="1"/>
    <col min="9" max="9" width="33" style="5" customWidth="1"/>
    <col min="10" max="10" width="35.21875" customWidth="1"/>
    <col min="11" max="11" width="34.109375" customWidth="1"/>
    <col min="12" max="15" width="17.33203125" customWidth="1"/>
    <col min="16" max="16" width="19" customWidth="1"/>
    <col min="17" max="17" width="11.21875" customWidth="1"/>
    <col min="18" max="18" width="11.88671875" customWidth="1"/>
    <col min="19" max="19" width="11.21875" customWidth="1"/>
    <col min="20" max="20" width="15.109375" customWidth="1"/>
    <col min="21" max="21" width="11.21875" customWidth="1"/>
    <col min="22" max="22" width="26.6640625" customWidth="1"/>
    <col min="23" max="25" width="11.21875" customWidth="1"/>
  </cols>
  <sheetData>
    <row r="1" spans="1:21" x14ac:dyDescent="0.3">
      <c r="B1" t="s">
        <v>0</v>
      </c>
      <c r="C1" t="s">
        <v>1</v>
      </c>
      <c r="D1" t="s">
        <v>2</v>
      </c>
      <c r="E1" t="s">
        <v>3</v>
      </c>
      <c r="F1" t="s">
        <v>14</v>
      </c>
      <c r="G1" t="s">
        <v>16</v>
      </c>
      <c r="H1" t="s">
        <v>8</v>
      </c>
      <c r="I1" s="5" t="s">
        <v>7</v>
      </c>
      <c r="J1" t="s">
        <v>9</v>
      </c>
    </row>
    <row r="2" spans="1:21" x14ac:dyDescent="0.3">
      <c r="A2" t="s">
        <v>4</v>
      </c>
      <c r="B2">
        <v>123938.58</v>
      </c>
      <c r="C2">
        <v>947.11</v>
      </c>
      <c r="D2">
        <v>14913.14</v>
      </c>
      <c r="E2" t="s">
        <v>6</v>
      </c>
      <c r="H2">
        <v>76105.919999999998</v>
      </c>
      <c r="I2" s="5">
        <v>288824.5</v>
      </c>
    </row>
    <row r="3" spans="1:21" x14ac:dyDescent="0.3">
      <c r="A3" s="2">
        <v>45403</v>
      </c>
      <c r="B3" s="6">
        <v>128030.58</v>
      </c>
      <c r="C3" s="6">
        <v>35088.1</v>
      </c>
      <c r="D3" s="6">
        <v>15674.43</v>
      </c>
      <c r="E3" s="6">
        <v>113538.98</v>
      </c>
      <c r="H3" s="7">
        <v>67855.429999999993</v>
      </c>
      <c r="I3" s="5">
        <f>SUM(B3:H3)</f>
        <v>360187.51999999996</v>
      </c>
      <c r="J3" s="4">
        <f>I3-I2</f>
        <v>71363.01999999996</v>
      </c>
    </row>
    <row r="4" spans="1:21" x14ac:dyDescent="0.3">
      <c r="A4" s="1" t="s">
        <v>5</v>
      </c>
      <c r="B4" s="3"/>
      <c r="C4" s="3">
        <v>45525</v>
      </c>
      <c r="D4" s="3"/>
      <c r="E4" s="3"/>
      <c r="F4" s="3">
        <v>45521</v>
      </c>
      <c r="G4" s="3"/>
      <c r="H4" s="3"/>
      <c r="K4" t="s">
        <v>22</v>
      </c>
    </row>
    <row r="5" spans="1:21" ht="15" thickBot="1" x14ac:dyDescent="0.35">
      <c r="A5" s="57" t="s">
        <v>12</v>
      </c>
      <c r="B5" s="57"/>
      <c r="C5" s="57"/>
      <c r="D5" s="57"/>
      <c r="E5" s="57"/>
      <c r="F5" s="57"/>
      <c r="G5" s="57"/>
      <c r="H5" s="57"/>
      <c r="K5" s="12">
        <f>J3+K14</f>
        <v>116173.01000000001</v>
      </c>
    </row>
    <row r="6" spans="1:21" ht="15" thickTop="1" x14ac:dyDescent="0.3">
      <c r="A6" s="2">
        <v>45417</v>
      </c>
      <c r="B6" s="6">
        <v>163429.01</v>
      </c>
      <c r="C6" s="6">
        <v>42841.56</v>
      </c>
      <c r="D6" s="6">
        <v>19124.810000000001</v>
      </c>
      <c r="E6" s="6">
        <v>116175.39</v>
      </c>
      <c r="H6">
        <v>67855.429999999993</v>
      </c>
      <c r="I6" s="5">
        <f t="shared" ref="I6:I45" si="0">SUM(B6:H6)</f>
        <v>409426.2</v>
      </c>
      <c r="J6" s="4">
        <f>I6-I3</f>
        <v>49238.680000000051</v>
      </c>
      <c r="L6" t="s">
        <v>10</v>
      </c>
      <c r="M6" s="37" t="s">
        <v>0</v>
      </c>
      <c r="N6" t="s">
        <v>11</v>
      </c>
    </row>
    <row r="7" spans="1:21" x14ac:dyDescent="0.3">
      <c r="A7" s="2"/>
      <c r="B7" s="6"/>
      <c r="C7" s="6"/>
      <c r="D7" s="6"/>
      <c r="E7" s="6"/>
      <c r="J7" s="4"/>
      <c r="L7" s="9">
        <v>46142</v>
      </c>
      <c r="M7">
        <v>153437.79</v>
      </c>
    </row>
    <row r="8" spans="1:21" x14ac:dyDescent="0.3">
      <c r="A8" s="2"/>
      <c r="B8" s="6"/>
      <c r="C8" s="6"/>
      <c r="D8" s="6"/>
      <c r="E8" s="6"/>
      <c r="J8" s="4"/>
      <c r="L8" s="9">
        <v>46173</v>
      </c>
      <c r="M8" s="37">
        <v>82400.88</v>
      </c>
    </row>
    <row r="9" spans="1:21" x14ac:dyDescent="0.3">
      <c r="A9" s="2"/>
      <c r="B9" s="6"/>
      <c r="C9" s="6"/>
      <c r="D9" s="6"/>
      <c r="E9" s="6"/>
      <c r="J9" s="4"/>
      <c r="L9" s="9">
        <v>46203</v>
      </c>
      <c r="M9" s="37">
        <v>261982.57</v>
      </c>
    </row>
    <row r="10" spans="1:21" x14ac:dyDescent="0.3">
      <c r="A10" s="2"/>
      <c r="B10" s="6"/>
      <c r="C10" s="6"/>
      <c r="D10" s="6"/>
      <c r="E10" s="6"/>
      <c r="J10" s="4"/>
      <c r="L10" s="9" t="s">
        <v>43</v>
      </c>
      <c r="N10" s="53">
        <f>M7</f>
        <v>153437.79</v>
      </c>
    </row>
    <row r="11" spans="1:21" x14ac:dyDescent="0.3">
      <c r="A11" s="2"/>
      <c r="B11" s="6"/>
      <c r="C11" s="6"/>
      <c r="D11" s="6"/>
      <c r="E11" s="6"/>
      <c r="J11" s="4"/>
      <c r="L11" s="37"/>
      <c r="M11" s="37"/>
      <c r="N11" s="37"/>
      <c r="O11" s="37"/>
      <c r="P11" s="37"/>
    </row>
    <row r="12" spans="1:21" x14ac:dyDescent="0.3">
      <c r="A12" s="2"/>
      <c r="B12" s="6"/>
      <c r="C12" s="6"/>
      <c r="D12" s="6"/>
      <c r="E12" s="6"/>
      <c r="J12" s="4"/>
      <c r="Q12" s="9"/>
    </row>
    <row r="13" spans="1:21" x14ac:dyDescent="0.3">
      <c r="A13" s="2">
        <v>45430</v>
      </c>
      <c r="B13" s="6">
        <v>194857.39</v>
      </c>
      <c r="C13" s="6">
        <v>91923.5</v>
      </c>
      <c r="D13" s="6">
        <v>19196.11</v>
      </c>
      <c r="E13" s="6">
        <v>117526.59</v>
      </c>
      <c r="H13" s="7">
        <v>62456.33</v>
      </c>
      <c r="I13" s="5">
        <f t="shared" si="0"/>
        <v>485959.92</v>
      </c>
      <c r="J13" s="4">
        <f>I13 -I6</f>
        <v>76533.719999999972</v>
      </c>
      <c r="K13" t="s">
        <v>21</v>
      </c>
      <c r="M13" t="s">
        <v>45</v>
      </c>
      <c r="N13" t="s">
        <v>46</v>
      </c>
      <c r="O13" t="s">
        <v>47</v>
      </c>
      <c r="Q13" s="9"/>
    </row>
    <row r="14" spans="1:21" x14ac:dyDescent="0.3">
      <c r="A14" s="2">
        <v>45432</v>
      </c>
      <c r="B14" s="7">
        <v>148847.39000000001</v>
      </c>
      <c r="C14" s="6">
        <v>102746.28</v>
      </c>
      <c r="D14">
        <v>19196.11</v>
      </c>
      <c r="E14" s="6">
        <v>119003.61</v>
      </c>
      <c r="H14">
        <v>62456.33</v>
      </c>
      <c r="I14" s="5">
        <f t="shared" si="0"/>
        <v>452249.72000000003</v>
      </c>
      <c r="J14" s="8">
        <f t="shared" ref="J14:J43" si="1">I14 -I13</f>
        <v>-33710.199999999953</v>
      </c>
      <c r="K14" s="12">
        <f>J6+J13+J14+J16+J17</f>
        <v>44809.990000000049</v>
      </c>
      <c r="M14" t="s">
        <v>50</v>
      </c>
      <c r="N14">
        <v>25000</v>
      </c>
      <c r="O14" s="9">
        <v>46127</v>
      </c>
      <c r="Q14" s="9"/>
    </row>
    <row r="15" spans="1:21" x14ac:dyDescent="0.3">
      <c r="A15" s="2"/>
      <c r="B15" s="7"/>
      <c r="C15" s="6"/>
      <c r="E15" s="6"/>
      <c r="J15" s="8"/>
      <c r="K15" s="12"/>
      <c r="M15" t="s">
        <v>52</v>
      </c>
      <c r="N15">
        <v>15000</v>
      </c>
      <c r="O15" s="9">
        <v>46132</v>
      </c>
      <c r="U15" s="9"/>
    </row>
    <row r="16" spans="1:21" x14ac:dyDescent="0.3">
      <c r="A16" s="2">
        <v>45433</v>
      </c>
      <c r="B16">
        <v>148847.39000000001</v>
      </c>
      <c r="C16" s="6">
        <v>136363.76</v>
      </c>
      <c r="D16">
        <v>19196.11</v>
      </c>
      <c r="E16" s="7">
        <v>53062.33</v>
      </c>
      <c r="H16">
        <v>62456.33</v>
      </c>
      <c r="I16" s="5">
        <f t="shared" si="0"/>
        <v>419925.92000000004</v>
      </c>
      <c r="J16" s="8">
        <f>I16 -I14</f>
        <v>-32323.799999999988</v>
      </c>
      <c r="K16" s="11" t="s">
        <v>13</v>
      </c>
      <c r="M16" t="s">
        <v>53</v>
      </c>
      <c r="N16">
        <v>29000</v>
      </c>
      <c r="O16" s="9">
        <v>46142</v>
      </c>
      <c r="Q16" s="9"/>
      <c r="R16" s="9"/>
      <c r="T16" s="9"/>
    </row>
    <row r="17" spans="1:30" x14ac:dyDescent="0.3">
      <c r="A17" s="9">
        <v>45440</v>
      </c>
      <c r="B17" s="6">
        <v>164338.72</v>
      </c>
      <c r="C17" s="10">
        <v>104560.41</v>
      </c>
      <c r="D17" s="6">
        <v>19462.349999999999</v>
      </c>
      <c r="E17" s="6">
        <v>54179.7</v>
      </c>
      <c r="H17">
        <v>62456.33</v>
      </c>
      <c r="I17" s="5">
        <f t="shared" si="0"/>
        <v>404997.51</v>
      </c>
      <c r="J17" s="8">
        <f>I17 -I16</f>
        <v>-14928.410000000033</v>
      </c>
      <c r="M17" t="s">
        <v>50</v>
      </c>
      <c r="N17">
        <v>25000</v>
      </c>
      <c r="O17" s="9">
        <v>46143</v>
      </c>
      <c r="Q17" s="35"/>
      <c r="R17" s="35"/>
      <c r="T17" s="35"/>
      <c r="U17" s="36"/>
    </row>
    <row r="18" spans="1:30" x14ac:dyDescent="0.3">
      <c r="A18" s="9"/>
      <c r="B18" s="6"/>
      <c r="C18" s="7"/>
      <c r="D18" s="6"/>
      <c r="E18" s="6"/>
      <c r="J18" s="8"/>
      <c r="M18" t="s">
        <v>48</v>
      </c>
      <c r="N18">
        <v>4700</v>
      </c>
      <c r="O18" s="9">
        <v>46145</v>
      </c>
      <c r="P18" s="35"/>
      <c r="Q18" s="47"/>
      <c r="R18" s="47"/>
      <c r="S18" s="9"/>
      <c r="T18" s="37"/>
      <c r="X18" s="9"/>
    </row>
    <row r="19" spans="1:30" x14ac:dyDescent="0.3">
      <c r="A19" s="9">
        <v>45449</v>
      </c>
      <c r="B19" s="6">
        <v>199562.01</v>
      </c>
      <c r="C19" s="7">
        <v>66258.759999999995</v>
      </c>
      <c r="D19" s="6">
        <v>19951.240000000002</v>
      </c>
      <c r="E19" s="6">
        <v>57102.18</v>
      </c>
      <c r="H19">
        <v>62456.33</v>
      </c>
      <c r="I19" s="5">
        <f t="shared" si="0"/>
        <v>405330.52</v>
      </c>
      <c r="J19" s="4">
        <f>I19 -I17</f>
        <v>333.01000000000931</v>
      </c>
      <c r="K19" t="s">
        <v>20</v>
      </c>
      <c r="M19" t="s">
        <v>49</v>
      </c>
      <c r="N19">
        <v>65000</v>
      </c>
      <c r="O19" s="9">
        <v>46147</v>
      </c>
      <c r="S19" s="35"/>
      <c r="V19" s="9"/>
      <c r="W19" s="9"/>
    </row>
    <row r="20" spans="1:30" x14ac:dyDescent="0.3">
      <c r="A20" s="2">
        <v>45464</v>
      </c>
      <c r="B20" s="6">
        <v>199681.01</v>
      </c>
      <c r="C20" s="7">
        <v>2873.79</v>
      </c>
      <c r="D20" s="6">
        <v>20657.66</v>
      </c>
      <c r="E20" s="7">
        <v>53608.84</v>
      </c>
      <c r="H20" s="7">
        <v>57034.35</v>
      </c>
      <c r="I20" s="5">
        <f t="shared" si="0"/>
        <v>333855.65000000002</v>
      </c>
      <c r="J20" s="8">
        <f>I20 -I19</f>
        <v>-71474.87</v>
      </c>
      <c r="K20" s="13">
        <f>J19+J20+J21</f>
        <v>-74136.570000000007</v>
      </c>
      <c r="M20" s="8" t="s">
        <v>51</v>
      </c>
      <c r="N20" s="8" t="s">
        <v>43</v>
      </c>
      <c r="O20" s="8">
        <f>N14+N15+N16</f>
        <v>69000</v>
      </c>
      <c r="S20" s="47"/>
      <c r="X20" s="9"/>
    </row>
    <row r="21" spans="1:30" x14ac:dyDescent="0.3">
      <c r="A21" s="2">
        <v>45472</v>
      </c>
      <c r="B21" s="7">
        <v>154614.17000000001</v>
      </c>
      <c r="C21" s="6">
        <v>42876.91</v>
      </c>
      <c r="D21" s="6">
        <v>20775.98</v>
      </c>
      <c r="E21" s="6">
        <v>53987.05</v>
      </c>
      <c r="F21" s="6">
        <v>1572.48</v>
      </c>
      <c r="H21">
        <v>57034.35</v>
      </c>
      <c r="I21" s="5">
        <f t="shared" si="0"/>
        <v>330860.94</v>
      </c>
      <c r="J21" s="8">
        <f t="shared" si="1"/>
        <v>-2994.710000000021</v>
      </c>
      <c r="L21" s="9"/>
      <c r="P21" s="9"/>
      <c r="V21" s="37"/>
      <c r="W21" s="35"/>
      <c r="Y21" s="35"/>
    </row>
    <row r="22" spans="1:30" x14ac:dyDescent="0.3">
      <c r="A22" s="2">
        <v>45474</v>
      </c>
      <c r="B22" s="6">
        <v>158434.53</v>
      </c>
      <c r="C22" s="6">
        <v>47008.19</v>
      </c>
      <c r="D22" s="6">
        <v>20801.060000000001</v>
      </c>
      <c r="E22" s="14">
        <v>54081.599999999999</v>
      </c>
      <c r="F22">
        <v>1572.48</v>
      </c>
      <c r="H22">
        <v>57034.35</v>
      </c>
      <c r="I22" s="5">
        <f t="shared" si="0"/>
        <v>338932.20999999996</v>
      </c>
      <c r="J22" s="4">
        <f t="shared" si="1"/>
        <v>8071.2699999999604</v>
      </c>
      <c r="K22" t="s">
        <v>19</v>
      </c>
      <c r="M22" s="9"/>
      <c r="N22" s="9"/>
      <c r="O22" s="9"/>
      <c r="U22" s="9"/>
      <c r="W22" s="35"/>
      <c r="Y22" s="35"/>
      <c r="AD22" s="35"/>
    </row>
    <row r="23" spans="1:30" ht="28.8" x14ac:dyDescent="0.3">
      <c r="A23" s="2">
        <v>45484</v>
      </c>
      <c r="B23" s="6">
        <v>160311.03</v>
      </c>
      <c r="C23" s="6">
        <v>54128.94</v>
      </c>
      <c r="D23" s="6">
        <v>20907.759999999998</v>
      </c>
      <c r="E23" s="6">
        <v>54554.36</v>
      </c>
      <c r="F23" s="6">
        <v>5623.43</v>
      </c>
      <c r="H23" s="7">
        <v>51541.5</v>
      </c>
      <c r="I23" s="5">
        <f t="shared" si="0"/>
        <v>347067.02</v>
      </c>
      <c r="J23" s="4">
        <f t="shared" si="1"/>
        <v>8134.8100000000559</v>
      </c>
      <c r="K23" s="15">
        <f>J22+J23+J24+J25+J26+J27</f>
        <v>75950.280000000028</v>
      </c>
      <c r="M23" s="60" t="s">
        <v>54</v>
      </c>
      <c r="N23" t="s">
        <v>55</v>
      </c>
      <c r="O23" s="62" t="s">
        <v>56</v>
      </c>
      <c r="P23" t="s">
        <v>7</v>
      </c>
      <c r="Q23" s="9"/>
      <c r="R23" s="9"/>
      <c r="T23" s="9"/>
      <c r="W23" s="35"/>
      <c r="Y23" s="35"/>
      <c r="Z23" s="37"/>
      <c r="AB23" s="37"/>
    </row>
    <row r="24" spans="1:30" x14ac:dyDescent="0.3">
      <c r="A24" s="9">
        <v>45488</v>
      </c>
      <c r="B24" s="7">
        <v>104725.71</v>
      </c>
      <c r="C24" s="6">
        <v>114331.91</v>
      </c>
      <c r="D24" s="7">
        <v>2301.4699999999998</v>
      </c>
      <c r="E24" s="6">
        <v>54743.47</v>
      </c>
      <c r="F24">
        <v>5623.43</v>
      </c>
      <c r="G24" s="6">
        <v>72728.28</v>
      </c>
      <c r="H24">
        <v>51541.5</v>
      </c>
      <c r="I24" s="5">
        <f t="shared" si="0"/>
        <v>405995.77</v>
      </c>
      <c r="J24" s="4">
        <f t="shared" si="1"/>
        <v>58928.75</v>
      </c>
      <c r="M24" t="s">
        <v>57</v>
      </c>
      <c r="N24" s="61">
        <v>36667</v>
      </c>
      <c r="O24" s="63">
        <v>46125</v>
      </c>
      <c r="P24" t="s">
        <v>64</v>
      </c>
      <c r="U24" s="9"/>
      <c r="Y24" s="9"/>
    </row>
    <row r="25" spans="1:30" x14ac:dyDescent="0.3">
      <c r="A25" s="9">
        <v>45492</v>
      </c>
      <c r="B25" s="7">
        <v>99482.58</v>
      </c>
      <c r="C25" s="6">
        <v>116334.91</v>
      </c>
      <c r="D25" s="6">
        <v>4218.43</v>
      </c>
      <c r="E25" s="10">
        <v>49357.27</v>
      </c>
      <c r="F25">
        <v>5623.43</v>
      </c>
      <c r="G25" s="7">
        <v>71273.710000000006</v>
      </c>
      <c r="H25">
        <v>51541.5</v>
      </c>
      <c r="I25" s="5">
        <f t="shared" si="0"/>
        <v>397831.83</v>
      </c>
      <c r="J25" s="8">
        <f t="shared" si="1"/>
        <v>-8163.9400000000023</v>
      </c>
      <c r="M25" t="s">
        <v>67</v>
      </c>
      <c r="N25" s="61">
        <v>15000</v>
      </c>
      <c r="O25" s="63" t="s">
        <v>68</v>
      </c>
      <c r="Q25" s="9"/>
      <c r="R25" s="9"/>
      <c r="S25" s="9"/>
      <c r="T25" s="9"/>
      <c r="X25" s="9"/>
      <c r="Z25" s="9"/>
    </row>
    <row r="26" spans="1:30" x14ac:dyDescent="0.3">
      <c r="A26" s="9">
        <v>45495</v>
      </c>
      <c r="B26">
        <v>99482.58</v>
      </c>
      <c r="C26" s="6">
        <v>118893.91</v>
      </c>
      <c r="D26" s="6">
        <v>10755.4</v>
      </c>
      <c r="E26" s="10">
        <v>47362.95</v>
      </c>
      <c r="F26" s="6">
        <v>7023.43</v>
      </c>
      <c r="G26">
        <v>71273.710000000006</v>
      </c>
      <c r="H26">
        <v>51541.5</v>
      </c>
      <c r="I26" s="5">
        <f t="shared" si="0"/>
        <v>406333.48</v>
      </c>
      <c r="J26" s="4">
        <f t="shared" si="1"/>
        <v>8501.6499999999651</v>
      </c>
      <c r="M26" t="s">
        <v>58</v>
      </c>
      <c r="N26" s="62">
        <v>10000</v>
      </c>
      <c r="O26" s="62" t="s">
        <v>60</v>
      </c>
      <c r="P26" s="36">
        <f>SUM(N24:N27)</f>
        <v>65167</v>
      </c>
      <c r="V26" s="9"/>
      <c r="W26" s="9"/>
    </row>
    <row r="27" spans="1:30" x14ac:dyDescent="0.3">
      <c r="A27" s="9">
        <v>45500</v>
      </c>
      <c r="B27">
        <v>99482.58</v>
      </c>
      <c r="C27">
        <v>118893.91</v>
      </c>
      <c r="D27" s="6">
        <v>24036.42</v>
      </c>
      <c r="E27" s="10">
        <v>34501.199999999997</v>
      </c>
      <c r="F27" s="6">
        <v>7081.9</v>
      </c>
      <c r="G27">
        <v>71273.710000000006</v>
      </c>
      <c r="H27">
        <v>51541.5</v>
      </c>
      <c r="I27" s="5">
        <f t="shared" si="0"/>
        <v>406811.22000000003</v>
      </c>
      <c r="J27" s="4">
        <f t="shared" si="1"/>
        <v>477.74000000004889</v>
      </c>
      <c r="M27" t="s">
        <v>62</v>
      </c>
      <c r="N27" s="62">
        <v>3500</v>
      </c>
      <c r="O27" s="63">
        <v>46137</v>
      </c>
      <c r="S27" s="9"/>
      <c r="X27" s="9"/>
    </row>
    <row r="28" spans="1:30" x14ac:dyDescent="0.3">
      <c r="A28" s="9">
        <v>45505</v>
      </c>
      <c r="B28" s="6">
        <v>101770.68</v>
      </c>
      <c r="C28">
        <v>118593.91</v>
      </c>
      <c r="D28" s="6">
        <v>45420.73</v>
      </c>
      <c r="E28" s="16"/>
      <c r="F28" s="7">
        <v>4461.3500000000004</v>
      </c>
      <c r="G28">
        <v>71273.710000000006</v>
      </c>
      <c r="H28">
        <v>51541.5</v>
      </c>
      <c r="I28" s="5">
        <f t="shared" si="0"/>
        <v>393061.88</v>
      </c>
      <c r="J28" s="8">
        <f t="shared" si="1"/>
        <v>-13749.340000000026</v>
      </c>
      <c r="K28" t="s">
        <v>17</v>
      </c>
      <c r="L28" s="9"/>
      <c r="M28" t="s">
        <v>59</v>
      </c>
      <c r="N28" s="65">
        <v>12000</v>
      </c>
      <c r="O28" s="63">
        <v>46143</v>
      </c>
      <c r="P28" t="s">
        <v>65</v>
      </c>
      <c r="V28" s="9"/>
      <c r="W28" s="19"/>
      <c r="X28" s="21"/>
    </row>
    <row r="29" spans="1:30" x14ac:dyDescent="0.3">
      <c r="A29" s="9">
        <v>45506</v>
      </c>
      <c r="B29">
        <v>101770.68</v>
      </c>
      <c r="C29" s="10">
        <v>101292.73</v>
      </c>
      <c r="D29" s="7">
        <v>45014.26</v>
      </c>
      <c r="E29" s="16"/>
      <c r="F29" s="7">
        <v>64</v>
      </c>
      <c r="G29">
        <v>71273.710000000006</v>
      </c>
      <c r="H29">
        <v>51541.5</v>
      </c>
      <c r="I29" s="5">
        <f t="shared" si="0"/>
        <v>370956.88</v>
      </c>
      <c r="J29" s="8">
        <f t="shared" si="1"/>
        <v>-22105</v>
      </c>
      <c r="K29" s="13">
        <f>J28+J29+J31</f>
        <v>-64513.900000000023</v>
      </c>
      <c r="M29" t="s">
        <v>57</v>
      </c>
      <c r="N29" s="61">
        <v>36667</v>
      </c>
      <c r="O29" s="63">
        <v>46155</v>
      </c>
      <c r="P29" s="36">
        <f>SUM(N28:N32)</f>
        <v>84167</v>
      </c>
      <c r="W29" s="20"/>
      <c r="X29" s="21"/>
      <c r="Y29" s="9"/>
      <c r="AB29" t="s">
        <v>15</v>
      </c>
    </row>
    <row r="30" spans="1:30" x14ac:dyDescent="0.3">
      <c r="A30" s="9"/>
      <c r="C30" s="10"/>
      <c r="D30" s="7"/>
      <c r="E30" s="16"/>
      <c r="F30" s="7"/>
      <c r="J30" s="8"/>
      <c r="K30" s="13"/>
      <c r="M30" t="s">
        <v>69</v>
      </c>
      <c r="N30" s="61">
        <v>22000</v>
      </c>
      <c r="O30" s="63" t="s">
        <v>70</v>
      </c>
      <c r="P30" s="36"/>
      <c r="W30" s="20"/>
      <c r="X30" s="21"/>
      <c r="Y30" s="9"/>
    </row>
    <row r="31" spans="1:30" x14ac:dyDescent="0.3">
      <c r="A31" s="9">
        <v>45513</v>
      </c>
      <c r="B31">
        <v>101770.68</v>
      </c>
      <c r="C31" s="10">
        <v>61288.73</v>
      </c>
      <c r="D31" s="6">
        <v>48049.19</v>
      </c>
      <c r="E31" s="6">
        <v>13387.21</v>
      </c>
      <c r="F31" s="6">
        <v>514</v>
      </c>
      <c r="G31">
        <v>71273.710000000006</v>
      </c>
      <c r="H31" s="7">
        <v>46013.8</v>
      </c>
      <c r="I31" s="5">
        <f t="shared" si="0"/>
        <v>342297.32</v>
      </c>
      <c r="J31" s="8">
        <f>I31 -I29</f>
        <v>-28659.559999999998</v>
      </c>
      <c r="L31" s="49"/>
      <c r="M31" t="s">
        <v>61</v>
      </c>
      <c r="N31" s="62">
        <v>10000</v>
      </c>
      <c r="O31" s="63">
        <v>46165</v>
      </c>
      <c r="W31" s="20"/>
      <c r="X31" s="21"/>
    </row>
    <row r="32" spans="1:30" x14ac:dyDescent="0.3">
      <c r="A32" s="9">
        <v>45536</v>
      </c>
      <c r="B32" s="7">
        <v>39560.11</v>
      </c>
      <c r="C32" s="6">
        <v>65658.37</v>
      </c>
      <c r="D32" s="6">
        <v>118081.86</v>
      </c>
      <c r="E32" s="17">
        <v>49113.79</v>
      </c>
      <c r="F32" s="6">
        <v>1500</v>
      </c>
      <c r="G32" s="10">
        <v>69848.240000000005</v>
      </c>
      <c r="H32">
        <v>46013.8</v>
      </c>
      <c r="I32" s="5">
        <f t="shared" si="0"/>
        <v>389776.17</v>
      </c>
      <c r="J32" s="4">
        <f t="shared" si="1"/>
        <v>47478.849999999977</v>
      </c>
      <c r="K32" t="s">
        <v>18</v>
      </c>
      <c r="M32" t="s">
        <v>62</v>
      </c>
      <c r="N32" s="62">
        <v>3500</v>
      </c>
      <c r="O32" s="63">
        <v>46167</v>
      </c>
      <c r="P32" s="49"/>
      <c r="Q32" s="9"/>
      <c r="Y32" s="9"/>
    </row>
    <row r="33" spans="1:26" x14ac:dyDescent="0.3">
      <c r="A33" s="9">
        <v>45542</v>
      </c>
      <c r="B33">
        <v>39560.11</v>
      </c>
      <c r="C33" s="14">
        <v>69028.34</v>
      </c>
      <c r="D33" s="6">
        <v>156478.06</v>
      </c>
      <c r="E33" s="7">
        <v>12284.55</v>
      </c>
      <c r="F33" s="6">
        <v>14580</v>
      </c>
      <c r="G33" s="18">
        <v>69848.240000000005</v>
      </c>
      <c r="H33">
        <v>46013.8</v>
      </c>
      <c r="I33" s="5">
        <f t="shared" si="0"/>
        <v>407793.1</v>
      </c>
      <c r="J33" s="4">
        <f t="shared" si="1"/>
        <v>18016.929999999993</v>
      </c>
      <c r="K33" s="15">
        <f>J32+J33+J34+J35+J36+J37</f>
        <v>27793.700000000012</v>
      </c>
      <c r="M33" t="s">
        <v>63</v>
      </c>
      <c r="N33" s="62">
        <v>15000</v>
      </c>
      <c r="O33" s="64">
        <v>46182</v>
      </c>
      <c r="P33" t="s">
        <v>66</v>
      </c>
      <c r="Q33" s="49"/>
      <c r="Z33" s="9"/>
    </row>
    <row r="34" spans="1:26" x14ac:dyDescent="0.3">
      <c r="A34" s="9">
        <v>45549</v>
      </c>
      <c r="B34" s="6">
        <v>91255.11</v>
      </c>
      <c r="C34" s="6">
        <v>71267.320000000007</v>
      </c>
      <c r="D34" s="6">
        <v>172198.39</v>
      </c>
      <c r="E34" s="7">
        <v>171.83</v>
      </c>
      <c r="F34">
        <v>14580</v>
      </c>
      <c r="G34" s="18">
        <v>69848.240000000005</v>
      </c>
      <c r="H34" s="7">
        <v>40435.760000000002</v>
      </c>
      <c r="I34" s="5">
        <f t="shared" si="0"/>
        <v>459756.65</v>
      </c>
      <c r="J34" s="4">
        <f t="shared" si="1"/>
        <v>51963.550000000047</v>
      </c>
      <c r="M34" t="s">
        <v>57</v>
      </c>
      <c r="N34" s="61">
        <v>36667</v>
      </c>
      <c r="O34" s="63">
        <v>46186</v>
      </c>
      <c r="P34" s="36">
        <f>SUM(N33:N35)</f>
        <v>55167</v>
      </c>
    </row>
    <row r="35" spans="1:26" x14ac:dyDescent="0.3">
      <c r="A35" s="9">
        <v>45559</v>
      </c>
      <c r="B35" s="6">
        <v>93762.94</v>
      </c>
      <c r="C35" s="6">
        <v>73389.320000000007</v>
      </c>
      <c r="D35" s="6">
        <v>173528.39</v>
      </c>
      <c r="E35" s="6">
        <v>32286.5</v>
      </c>
      <c r="F35" s="6">
        <v>14709.76</v>
      </c>
      <c r="G35" s="7">
        <v>26648.240000000002</v>
      </c>
      <c r="H35">
        <v>40435.760000000002</v>
      </c>
      <c r="I35" s="5">
        <f t="shared" si="0"/>
        <v>454760.91000000003</v>
      </c>
      <c r="J35" s="8">
        <f t="shared" si="1"/>
        <v>-4995.7399999999907</v>
      </c>
      <c r="M35" t="s">
        <v>62</v>
      </c>
      <c r="N35" s="62">
        <v>3500</v>
      </c>
      <c r="O35" s="64">
        <v>46198</v>
      </c>
      <c r="Q35" s="49"/>
    </row>
    <row r="36" spans="1:26" x14ac:dyDescent="0.3">
      <c r="A36" s="9">
        <v>45560</v>
      </c>
      <c r="B36">
        <v>93762.94</v>
      </c>
      <c r="C36" s="7">
        <v>57777.95</v>
      </c>
      <c r="D36">
        <v>173528.39</v>
      </c>
      <c r="E36" s="6">
        <v>33689.629999999997</v>
      </c>
      <c r="F36" s="16"/>
      <c r="G36" s="16"/>
      <c r="H36">
        <v>40435.760000000002</v>
      </c>
      <c r="I36" s="5">
        <f t="shared" si="0"/>
        <v>399194.67000000004</v>
      </c>
      <c r="J36" s="8">
        <f t="shared" si="1"/>
        <v>-55566.239999999991</v>
      </c>
      <c r="L36" s="37"/>
      <c r="M36" t="s">
        <v>57</v>
      </c>
      <c r="N36" s="61">
        <v>36667</v>
      </c>
      <c r="O36" s="63">
        <v>46216</v>
      </c>
      <c r="P36" t="s">
        <v>71</v>
      </c>
      <c r="Q36" s="9"/>
    </row>
    <row r="37" spans="1:26" x14ac:dyDescent="0.3">
      <c r="A37" s="9">
        <v>45565</v>
      </c>
      <c r="B37" s="7">
        <v>59862.84</v>
      </c>
      <c r="C37" s="10">
        <v>33534.43</v>
      </c>
      <c r="D37" s="6">
        <v>174085.39</v>
      </c>
      <c r="E37" s="6">
        <v>38457.86</v>
      </c>
      <c r="F37" s="6">
        <v>14831.75</v>
      </c>
      <c r="G37" s="6">
        <v>8882.99</v>
      </c>
      <c r="H37">
        <v>40435.760000000002</v>
      </c>
      <c r="I37" s="29">
        <f t="shared" si="0"/>
        <v>370091.02</v>
      </c>
      <c r="J37" s="30">
        <f t="shared" si="1"/>
        <v>-29103.650000000023</v>
      </c>
      <c r="M37" t="s">
        <v>62</v>
      </c>
      <c r="N37" s="62">
        <v>3500</v>
      </c>
      <c r="O37" s="64">
        <v>46228</v>
      </c>
      <c r="P37" s="66">
        <f>SUM(N36:N37)</f>
        <v>40167</v>
      </c>
    </row>
    <row r="38" spans="1:26" x14ac:dyDescent="0.3">
      <c r="A38" s="9">
        <v>45566</v>
      </c>
      <c r="B38" s="6">
        <v>62078.69</v>
      </c>
      <c r="C38" s="10">
        <v>9927.0499999999993</v>
      </c>
      <c r="D38">
        <v>174085.39</v>
      </c>
      <c r="E38" s="6">
        <v>38492.129999999997</v>
      </c>
      <c r="F38">
        <v>14831.75</v>
      </c>
      <c r="G38" s="6">
        <v>11402.37</v>
      </c>
      <c r="H38">
        <v>40435.760000000002</v>
      </c>
      <c r="I38" s="29">
        <f t="shared" si="0"/>
        <v>351253.14</v>
      </c>
      <c r="J38" s="30">
        <f t="shared" si="1"/>
        <v>-18837.880000000005</v>
      </c>
      <c r="K38" t="s">
        <v>23</v>
      </c>
      <c r="U38" s="9"/>
    </row>
    <row r="39" spans="1:26" x14ac:dyDescent="0.3">
      <c r="A39" s="9">
        <v>45568</v>
      </c>
      <c r="B39">
        <v>62078.69</v>
      </c>
      <c r="C39" s="16"/>
      <c r="D39" s="7">
        <v>140249.19</v>
      </c>
      <c r="E39" s="7">
        <v>37760.67</v>
      </c>
      <c r="F39">
        <v>14831.75</v>
      </c>
      <c r="G39" s="6">
        <v>34764.370000000003</v>
      </c>
      <c r="H39">
        <v>40435.760000000002</v>
      </c>
      <c r="I39" s="29">
        <f t="shared" si="0"/>
        <v>330120.43</v>
      </c>
      <c r="J39" s="30">
        <f t="shared" si="1"/>
        <v>-21132.710000000021</v>
      </c>
      <c r="K39" s="15">
        <f>J38+J39+J40+J41+J42+J43+J44+J45</f>
        <v>243857.86</v>
      </c>
      <c r="L39" s="9"/>
      <c r="Q39" s="9"/>
      <c r="R39" s="9"/>
      <c r="T39" s="9"/>
      <c r="U39" s="44"/>
    </row>
    <row r="40" spans="1:26" x14ac:dyDescent="0.3">
      <c r="A40" s="9">
        <v>45585</v>
      </c>
      <c r="B40" s="6">
        <v>158088.12</v>
      </c>
      <c r="C40" s="17">
        <v>6062.99</v>
      </c>
      <c r="D40" s="7">
        <v>134537.85</v>
      </c>
      <c r="E40" s="16"/>
      <c r="F40">
        <v>14831.75</v>
      </c>
      <c r="G40" s="6">
        <v>72355.39</v>
      </c>
      <c r="H40" s="7">
        <v>34795.06</v>
      </c>
      <c r="I40" s="29">
        <f t="shared" si="0"/>
        <v>420671.16</v>
      </c>
      <c r="J40" s="28">
        <f>I40 -I39</f>
        <v>90550.729999999981</v>
      </c>
      <c r="L40" s="44"/>
      <c r="M40" s="37"/>
      <c r="N40" s="37"/>
      <c r="O40" s="37"/>
      <c r="P40" s="9"/>
      <c r="Q40" s="45"/>
      <c r="R40" s="44"/>
      <c r="T40" s="44"/>
      <c r="U40" s="9"/>
    </row>
    <row r="41" spans="1:26" x14ac:dyDescent="0.3">
      <c r="A41" s="9">
        <v>45586</v>
      </c>
      <c r="B41" s="6">
        <v>158268.12</v>
      </c>
      <c r="C41" s="18">
        <v>6062.99</v>
      </c>
      <c r="D41" s="7">
        <v>133756.75</v>
      </c>
      <c r="E41" s="16"/>
      <c r="F41">
        <v>14831.75</v>
      </c>
      <c r="G41" s="6">
        <v>73114.39</v>
      </c>
      <c r="H41" s="22"/>
      <c r="I41" s="29">
        <f t="shared" si="0"/>
        <v>386034</v>
      </c>
      <c r="J41" s="30">
        <f t="shared" si="1"/>
        <v>-34637.159999999974</v>
      </c>
      <c r="L41" s="9"/>
      <c r="P41" s="44"/>
      <c r="Q41" s="9"/>
      <c r="R41" s="9"/>
      <c r="S41" s="9"/>
      <c r="T41" s="9"/>
    </row>
    <row r="42" spans="1:26" x14ac:dyDescent="0.3">
      <c r="A42" s="9">
        <v>45589</v>
      </c>
      <c r="B42" s="6">
        <v>165587.12</v>
      </c>
      <c r="C42" s="6">
        <v>7323.7</v>
      </c>
      <c r="D42" s="7">
        <v>113692.43</v>
      </c>
      <c r="E42" s="16"/>
      <c r="F42" s="16"/>
      <c r="G42" s="6">
        <v>77671.39</v>
      </c>
      <c r="H42" s="6">
        <v>140872.5</v>
      </c>
      <c r="I42" s="29">
        <f t="shared" si="0"/>
        <v>505147.14</v>
      </c>
      <c r="J42" s="28">
        <f t="shared" si="1"/>
        <v>119113.14000000001</v>
      </c>
      <c r="P42" s="9"/>
      <c r="S42" s="44"/>
      <c r="U42" s="47"/>
      <c r="V42" s="9"/>
    </row>
    <row r="43" spans="1:26" x14ac:dyDescent="0.3">
      <c r="A43" s="54">
        <v>45590</v>
      </c>
      <c r="B43" s="7">
        <v>161956.44</v>
      </c>
      <c r="C43">
        <v>7323.7</v>
      </c>
      <c r="D43" s="7">
        <v>83623.11</v>
      </c>
      <c r="E43" s="16"/>
      <c r="F43" s="6">
        <v>1572.5</v>
      </c>
      <c r="G43">
        <v>77671.39</v>
      </c>
      <c r="H43">
        <v>140872.5</v>
      </c>
      <c r="I43" s="29">
        <f t="shared" si="0"/>
        <v>473019.64</v>
      </c>
      <c r="J43" s="30">
        <f t="shared" si="1"/>
        <v>-32127.5</v>
      </c>
      <c r="L43" s="9"/>
      <c r="M43" s="9"/>
      <c r="N43" s="9"/>
      <c r="O43" s="9"/>
      <c r="S43" s="9"/>
      <c r="V43" s="45"/>
      <c r="W43" s="46"/>
    </row>
    <row r="44" spans="1:26" x14ac:dyDescent="0.3">
      <c r="A44" s="9">
        <v>45595</v>
      </c>
      <c r="B44">
        <v>161956.44</v>
      </c>
      <c r="C44" s="7">
        <v>6090.2</v>
      </c>
      <c r="D44" s="6">
        <v>233358.57</v>
      </c>
      <c r="E44" s="16"/>
      <c r="F44" s="6">
        <v>8310.89</v>
      </c>
      <c r="G44" s="6">
        <v>82124.350000000006</v>
      </c>
      <c r="H44">
        <v>140872.5</v>
      </c>
      <c r="I44" s="29">
        <f>SUM(B44:H44)</f>
        <v>632712.95000000007</v>
      </c>
      <c r="J44" s="28">
        <f>I44 -I43</f>
        <v>159693.31000000006</v>
      </c>
      <c r="L44" s="45"/>
      <c r="M44" s="44"/>
      <c r="N44" s="44"/>
      <c r="O44" s="44"/>
      <c r="P44" s="9"/>
      <c r="U44" s="9"/>
      <c r="V44" s="9"/>
      <c r="W44" s="9"/>
    </row>
    <row r="45" spans="1:26" x14ac:dyDescent="0.3">
      <c r="A45" s="9">
        <v>45596</v>
      </c>
      <c r="B45" s="7">
        <v>141881.64000000001</v>
      </c>
      <c r="C45" s="16"/>
      <c r="D45">
        <v>233358.57</v>
      </c>
      <c r="E45" s="16"/>
      <c r="F45" s="6">
        <v>13497.82</v>
      </c>
      <c r="G45" s="6">
        <v>84338.35</v>
      </c>
      <c r="H45">
        <v>140872.5</v>
      </c>
      <c r="I45" s="29">
        <f t="shared" si="0"/>
        <v>613948.88</v>
      </c>
      <c r="J45" s="30">
        <f>I45 -I44</f>
        <v>-18764.070000000065</v>
      </c>
      <c r="L45" s="9"/>
      <c r="M45" s="9"/>
      <c r="N45" s="9"/>
      <c r="O45" s="9"/>
      <c r="P45" s="45"/>
      <c r="Q45" s="9"/>
      <c r="R45" s="9"/>
      <c r="T45" s="9"/>
      <c r="W45" s="45"/>
    </row>
    <row r="46" spans="1:26" ht="15" thickBot="1" x14ac:dyDescent="0.35">
      <c r="A46" s="9">
        <v>45604</v>
      </c>
      <c r="B46" s="6">
        <v>152645.10999999999</v>
      </c>
      <c r="C46" s="22"/>
      <c r="D46" s="6">
        <v>253837.73</v>
      </c>
      <c r="E46" s="16"/>
      <c r="F46" s="6">
        <v>14892.82</v>
      </c>
      <c r="G46" s="6">
        <v>84940.35</v>
      </c>
      <c r="H46">
        <v>140872.5</v>
      </c>
      <c r="I46" s="29">
        <f>SUM(B46:H46)</f>
        <v>647188.51</v>
      </c>
      <c r="J46" s="28">
        <f>I46 -I45</f>
        <v>33239.630000000005</v>
      </c>
      <c r="K46" t="s">
        <v>24</v>
      </c>
      <c r="P46" s="9"/>
      <c r="W46" s="48"/>
    </row>
    <row r="47" spans="1:26" ht="15.6" thickTop="1" thickBot="1" x14ac:dyDescent="0.35">
      <c r="A47" s="3"/>
      <c r="B47" s="1" t="s">
        <v>0</v>
      </c>
      <c r="C47" s="1" t="s">
        <v>8</v>
      </c>
      <c r="D47" s="1" t="s">
        <v>2</v>
      </c>
      <c r="E47" s="1" t="s">
        <v>3</v>
      </c>
      <c r="F47" s="1" t="s">
        <v>14</v>
      </c>
      <c r="G47" s="1" t="s">
        <v>16</v>
      </c>
      <c r="H47" s="25" t="s">
        <v>7</v>
      </c>
      <c r="I47" s="26" t="s">
        <v>9</v>
      </c>
      <c r="J47" s="24"/>
      <c r="K47" s="27">
        <f>J46+I48+I49+I50+I51+I52+I53-44297.86</f>
        <v>-57947.61</v>
      </c>
      <c r="L47" s="9"/>
      <c r="M47" s="9"/>
      <c r="N47" s="9"/>
      <c r="O47" s="9"/>
      <c r="Q47" s="9"/>
      <c r="R47" s="37"/>
      <c r="S47" s="9"/>
      <c r="T47" s="37"/>
    </row>
    <row r="48" spans="1:26" ht="15" thickTop="1" x14ac:dyDescent="0.3">
      <c r="A48" s="9">
        <v>45605</v>
      </c>
      <c r="B48" s="7">
        <v>149807.48000000001</v>
      </c>
      <c r="C48" s="7">
        <v>137581.84</v>
      </c>
      <c r="D48" s="7">
        <v>216575.13</v>
      </c>
      <c r="E48" s="16"/>
      <c r="F48">
        <v>14892.82</v>
      </c>
      <c r="G48" s="7">
        <v>83253.58</v>
      </c>
      <c r="H48" s="5">
        <f t="shared" ref="H48:H53" si="2">SUM(B48:G48)</f>
        <v>602110.85</v>
      </c>
      <c r="I48" s="30">
        <f>H48-I46</f>
        <v>-45077.660000000033</v>
      </c>
      <c r="J48" s="24"/>
      <c r="K48" s="13"/>
      <c r="M48" s="45"/>
      <c r="N48" s="45"/>
      <c r="O48" s="45"/>
      <c r="P48" s="9"/>
      <c r="Q48" s="45"/>
      <c r="V48" s="9"/>
      <c r="W48" s="9"/>
    </row>
    <row r="49" spans="1:23" x14ac:dyDescent="0.3">
      <c r="A49" s="9">
        <v>45608</v>
      </c>
      <c r="B49">
        <v>149807.48000000001</v>
      </c>
      <c r="C49">
        <v>137581.84</v>
      </c>
      <c r="D49" s="6">
        <v>219538.99</v>
      </c>
      <c r="E49" s="16"/>
      <c r="F49">
        <v>14892.82</v>
      </c>
      <c r="G49" s="6">
        <v>84113.58</v>
      </c>
      <c r="H49" s="5">
        <f t="shared" si="2"/>
        <v>605934.71</v>
      </c>
      <c r="I49" s="28">
        <f>H49-H48</f>
        <v>3823.859999999986</v>
      </c>
      <c r="J49" s="24"/>
      <c r="K49" s="23" t="s">
        <v>25</v>
      </c>
      <c r="M49" s="9"/>
      <c r="N49" s="9"/>
      <c r="O49" s="9"/>
      <c r="S49" s="37"/>
    </row>
    <row r="50" spans="1:23" x14ac:dyDescent="0.3">
      <c r="A50" s="9">
        <v>45609</v>
      </c>
      <c r="B50">
        <v>149807.48000000001</v>
      </c>
      <c r="C50">
        <v>137581.84</v>
      </c>
      <c r="D50" s="6">
        <v>233564.66</v>
      </c>
      <c r="E50" s="16"/>
      <c r="F50">
        <v>14892.82</v>
      </c>
      <c r="G50">
        <v>84113.58</v>
      </c>
      <c r="H50" s="5">
        <f t="shared" si="2"/>
        <v>619960.37999999989</v>
      </c>
      <c r="I50" s="28">
        <f>H50-H49</f>
        <v>14025.669999999925</v>
      </c>
      <c r="J50" s="24"/>
      <c r="K50" s="12">
        <f>K5+K14</f>
        <v>160983.00000000006</v>
      </c>
    </row>
    <row r="51" spans="1:23" x14ac:dyDescent="0.3">
      <c r="A51" s="9">
        <v>45612</v>
      </c>
      <c r="B51" s="6">
        <v>150457.48000000001</v>
      </c>
      <c r="C51">
        <v>137581.84</v>
      </c>
      <c r="D51" s="6">
        <v>258492.65</v>
      </c>
      <c r="E51" s="16"/>
      <c r="F51" s="7">
        <v>8942.82</v>
      </c>
      <c r="G51">
        <v>84113.58</v>
      </c>
      <c r="H51" s="31">
        <f t="shared" si="2"/>
        <v>639588.36999999988</v>
      </c>
      <c r="I51" s="28">
        <f>H51-H50</f>
        <v>19627.989999999991</v>
      </c>
      <c r="J51" s="24"/>
      <c r="K51" s="23" t="s">
        <v>26</v>
      </c>
      <c r="M51" s="9"/>
      <c r="N51" s="9"/>
      <c r="O51" s="9"/>
      <c r="W51" s="46"/>
    </row>
    <row r="52" spans="1:23" x14ac:dyDescent="0.3">
      <c r="A52" s="9">
        <v>45614</v>
      </c>
      <c r="B52" s="6">
        <v>157592.48000000001</v>
      </c>
      <c r="C52">
        <v>137581.84</v>
      </c>
      <c r="D52" s="7">
        <v>253701.65</v>
      </c>
      <c r="E52" s="16"/>
      <c r="F52" s="6">
        <v>8998.82</v>
      </c>
      <c r="G52">
        <v>84113.58</v>
      </c>
      <c r="H52" s="31">
        <f t="shared" si="2"/>
        <v>641988.36999999988</v>
      </c>
      <c r="I52" s="28">
        <f>H52-H51</f>
        <v>2400</v>
      </c>
      <c r="J52" s="24"/>
      <c r="K52" s="27">
        <f>K20+K23+K29</f>
        <v>-62700.19</v>
      </c>
    </row>
    <row r="53" spans="1:23" ht="15" thickBot="1" x14ac:dyDescent="0.35">
      <c r="A53" s="9">
        <v>45616</v>
      </c>
      <c r="B53" s="6">
        <v>178049.48</v>
      </c>
      <c r="C53" s="7">
        <v>113167.6</v>
      </c>
      <c r="D53" s="7">
        <v>215701.65</v>
      </c>
      <c r="E53" s="16"/>
      <c r="F53" s="6">
        <v>9266.82</v>
      </c>
      <c r="G53">
        <v>84113.58</v>
      </c>
      <c r="H53" s="31">
        <f t="shared" si="2"/>
        <v>600299.13</v>
      </c>
      <c r="I53" s="30">
        <f>H53-H52</f>
        <v>-41689.239999999874</v>
      </c>
      <c r="J53" s="24"/>
      <c r="K53" s="23" t="s">
        <v>27</v>
      </c>
    </row>
    <row r="54" spans="1:23" ht="15.6" thickTop="1" thickBot="1" x14ac:dyDescent="0.35">
      <c r="A54" s="1"/>
      <c r="B54" s="1" t="s">
        <v>0</v>
      </c>
      <c r="C54" s="1" t="s">
        <v>8</v>
      </c>
      <c r="D54" s="1" t="s">
        <v>2</v>
      </c>
      <c r="E54" s="1" t="s">
        <v>16</v>
      </c>
      <c r="F54" s="1" t="s">
        <v>14</v>
      </c>
      <c r="G54" s="25" t="s">
        <v>7</v>
      </c>
      <c r="H54" s="26" t="s">
        <v>9</v>
      </c>
      <c r="I54" s="24"/>
      <c r="J54" s="24"/>
      <c r="K54" s="12">
        <f>K33+K39+K47</f>
        <v>213703.95</v>
      </c>
    </row>
    <row r="55" spans="1:23" ht="15" thickTop="1" x14ac:dyDescent="0.3">
      <c r="A55" s="9">
        <v>45626</v>
      </c>
      <c r="B55" s="6">
        <v>180522.98</v>
      </c>
      <c r="C55" s="7">
        <v>108553.39</v>
      </c>
      <c r="D55" s="7">
        <v>182918.32</v>
      </c>
      <c r="E55" s="7">
        <v>83886.58</v>
      </c>
      <c r="F55" s="7">
        <v>120</v>
      </c>
      <c r="G55" s="31">
        <f t="shared" ref="G55:G65" si="3">SUM(B55:F55)</f>
        <v>556001.27</v>
      </c>
      <c r="H55" s="30" t="s">
        <v>28</v>
      </c>
      <c r="I55" s="24"/>
      <c r="J55" s="24"/>
      <c r="K55" s="24"/>
    </row>
    <row r="56" spans="1:23" x14ac:dyDescent="0.3">
      <c r="A56" s="9">
        <v>45629</v>
      </c>
      <c r="B56" s="6">
        <v>191332.01</v>
      </c>
      <c r="C56">
        <v>108553.39</v>
      </c>
      <c r="D56" s="6">
        <v>186549.32</v>
      </c>
      <c r="E56">
        <v>83886.58</v>
      </c>
      <c r="F56" s="6">
        <v>12544</v>
      </c>
      <c r="G56" s="31">
        <f>SUM(B56:F56)</f>
        <v>582865.30000000005</v>
      </c>
      <c r="H56" s="33">
        <f t="shared" ref="H56:H65" si="4">G56-G55</f>
        <v>26864.030000000028</v>
      </c>
      <c r="I56" t="s">
        <v>29</v>
      </c>
      <c r="J56" s="24"/>
      <c r="K56" s="22" t="s">
        <v>33</v>
      </c>
    </row>
    <row r="57" spans="1:23" x14ac:dyDescent="0.3">
      <c r="A57" s="9">
        <v>45635</v>
      </c>
      <c r="B57" s="7">
        <v>158452.28</v>
      </c>
      <c r="C57" s="7">
        <v>101912.11</v>
      </c>
      <c r="D57" s="6">
        <v>190652.69</v>
      </c>
      <c r="E57" s="7">
        <v>76431.45</v>
      </c>
      <c r="F57" s="6">
        <v>13500</v>
      </c>
      <c r="G57" s="31">
        <f t="shared" si="3"/>
        <v>540948.53</v>
      </c>
      <c r="H57" s="32">
        <f t="shared" si="4"/>
        <v>-41916.770000000019</v>
      </c>
      <c r="I57" s="12">
        <f>H56+H57+H58+H59+H60+H61+H62</f>
        <v>34938.130000000005</v>
      </c>
      <c r="J57" s="24"/>
      <c r="K57" s="40">
        <f>K50+K52+K54+I57</f>
        <v>346924.89000000007</v>
      </c>
    </row>
    <row r="58" spans="1:23" x14ac:dyDescent="0.3">
      <c r="A58" s="9">
        <v>45639</v>
      </c>
      <c r="B58">
        <v>158452.28</v>
      </c>
      <c r="C58">
        <v>101912.11</v>
      </c>
      <c r="D58">
        <v>190652.69</v>
      </c>
      <c r="E58">
        <v>76431.45</v>
      </c>
      <c r="F58">
        <v>13500</v>
      </c>
      <c r="G58" s="31">
        <f t="shared" si="3"/>
        <v>540948.53</v>
      </c>
      <c r="H58" s="34">
        <f t="shared" si="4"/>
        <v>0</v>
      </c>
      <c r="I58"/>
      <c r="J58" s="23" t="s">
        <v>31</v>
      </c>
    </row>
    <row r="59" spans="1:23" x14ac:dyDescent="0.3">
      <c r="A59" s="9">
        <v>45646</v>
      </c>
      <c r="B59">
        <v>158452.28</v>
      </c>
      <c r="C59">
        <v>101912.11</v>
      </c>
      <c r="D59" s="6">
        <v>215409.59</v>
      </c>
      <c r="E59">
        <v>76431.45</v>
      </c>
      <c r="F59" s="6">
        <v>15000</v>
      </c>
      <c r="G59" s="31">
        <f t="shared" si="3"/>
        <v>567205.42999999993</v>
      </c>
      <c r="H59" s="33">
        <f t="shared" si="4"/>
        <v>26256.899999999907</v>
      </c>
      <c r="I59"/>
      <c r="J59" s="12">
        <f>I57+I64+J68</f>
        <v>8315.859999999986</v>
      </c>
      <c r="K59" s="40"/>
    </row>
    <row r="60" spans="1:23" x14ac:dyDescent="0.3">
      <c r="A60" s="9">
        <v>45647</v>
      </c>
      <c r="B60" s="6">
        <v>288802.34000000003</v>
      </c>
      <c r="C60">
        <v>101912.11</v>
      </c>
      <c r="D60" s="7">
        <v>188985.59</v>
      </c>
      <c r="E60">
        <v>76431.45</v>
      </c>
      <c r="F60" s="7">
        <v>10500</v>
      </c>
      <c r="G60" s="31">
        <f t="shared" si="3"/>
        <v>666631.49</v>
      </c>
      <c r="H60" s="33">
        <f t="shared" si="4"/>
        <v>99426.060000000056</v>
      </c>
      <c r="I60"/>
    </row>
    <row r="61" spans="1:23" x14ac:dyDescent="0.3">
      <c r="A61" s="9">
        <v>45653</v>
      </c>
      <c r="B61" s="6">
        <v>289711.71999999997</v>
      </c>
      <c r="C61" s="7">
        <v>29254.34</v>
      </c>
      <c r="D61" s="6">
        <v>191353.12</v>
      </c>
      <c r="E61">
        <v>76431.45</v>
      </c>
      <c r="F61" s="7">
        <v>1000</v>
      </c>
      <c r="G61" s="31">
        <f t="shared" si="3"/>
        <v>587750.63</v>
      </c>
      <c r="H61" s="32">
        <f t="shared" si="4"/>
        <v>-78880.859999999986</v>
      </c>
      <c r="I61"/>
    </row>
    <row r="62" spans="1:23" x14ac:dyDescent="0.3">
      <c r="A62" s="9">
        <v>45655</v>
      </c>
      <c r="B62" s="7">
        <v>283481.84999999998</v>
      </c>
      <c r="C62">
        <v>29254.34</v>
      </c>
      <c r="D62" s="6">
        <v>199021.76</v>
      </c>
      <c r="E62">
        <v>76431.45</v>
      </c>
      <c r="F62" s="6">
        <v>2750</v>
      </c>
      <c r="G62" s="31">
        <f t="shared" si="3"/>
        <v>590939.4</v>
      </c>
      <c r="H62" s="33">
        <f t="shared" si="4"/>
        <v>3188.7700000000186</v>
      </c>
      <c r="I62"/>
    </row>
    <row r="63" spans="1:23" x14ac:dyDescent="0.3">
      <c r="A63" s="2">
        <v>45672</v>
      </c>
      <c r="B63" s="7">
        <v>233652.44</v>
      </c>
      <c r="C63">
        <v>29254.34</v>
      </c>
      <c r="D63" s="6">
        <v>287927.77</v>
      </c>
      <c r="E63" s="7">
        <v>61376.3</v>
      </c>
      <c r="F63" s="6">
        <v>15020</v>
      </c>
      <c r="G63" s="31">
        <f t="shared" si="3"/>
        <v>627230.85000000009</v>
      </c>
      <c r="H63" s="33">
        <f t="shared" si="4"/>
        <v>36291.45000000007</v>
      </c>
      <c r="I63" t="s">
        <v>30</v>
      </c>
    </row>
    <row r="64" spans="1:23" x14ac:dyDescent="0.3">
      <c r="A64" s="2">
        <v>45674</v>
      </c>
      <c r="B64" s="6">
        <v>233823.04</v>
      </c>
      <c r="C64">
        <v>29254.34</v>
      </c>
      <c r="D64" s="6">
        <v>297021.77</v>
      </c>
      <c r="E64" s="7">
        <v>11376.3</v>
      </c>
      <c r="F64">
        <v>15020</v>
      </c>
      <c r="G64" s="31">
        <f t="shared" si="3"/>
        <v>586495.45000000007</v>
      </c>
      <c r="H64" s="32">
        <f t="shared" si="4"/>
        <v>-40735.400000000023</v>
      </c>
      <c r="I64" s="38">
        <f>H63+H64+H65</f>
        <v>-35684.969999999972</v>
      </c>
    </row>
    <row r="65" spans="1:11" ht="15" thickBot="1" x14ac:dyDescent="0.35">
      <c r="A65" s="9">
        <v>45684</v>
      </c>
      <c r="B65" s="7">
        <v>189422</v>
      </c>
      <c r="C65" s="7">
        <v>24406.85</v>
      </c>
      <c r="D65" s="6">
        <v>319964.28000000003</v>
      </c>
      <c r="E65" s="7">
        <v>6461.3</v>
      </c>
      <c r="F65" s="7">
        <v>15000</v>
      </c>
      <c r="G65" s="31">
        <f t="shared" si="3"/>
        <v>555254.43000000005</v>
      </c>
      <c r="H65" s="32">
        <f t="shared" si="4"/>
        <v>-31241.020000000019</v>
      </c>
      <c r="I65"/>
    </row>
    <row r="66" spans="1:11" ht="15.6" thickTop="1" thickBot="1" x14ac:dyDescent="0.35">
      <c r="A66" s="1"/>
      <c r="B66" s="1" t="s">
        <v>0</v>
      </c>
      <c r="C66" s="1" t="s">
        <v>8</v>
      </c>
      <c r="D66" s="1" t="s">
        <v>2</v>
      </c>
      <c r="E66" s="1" t="s">
        <v>16</v>
      </c>
      <c r="F66" s="1" t="s">
        <v>14</v>
      </c>
      <c r="G66" s="1" t="s">
        <v>3</v>
      </c>
      <c r="H66" s="25" t="s">
        <v>7</v>
      </c>
      <c r="I66" s="26" t="s">
        <v>9</v>
      </c>
    </row>
    <row r="67" spans="1:11" ht="15" thickTop="1" x14ac:dyDescent="0.3">
      <c r="A67" s="9">
        <v>45690</v>
      </c>
      <c r="B67" s="7">
        <v>116530.37</v>
      </c>
      <c r="C67">
        <v>24406.85</v>
      </c>
      <c r="D67" s="7">
        <v>318899.15000000002</v>
      </c>
      <c r="E67" s="6">
        <v>60542.5</v>
      </c>
      <c r="F67">
        <v>15000</v>
      </c>
      <c r="G67" s="6">
        <v>21014.75</v>
      </c>
      <c r="H67" s="31">
        <f t="shared" ref="H67:H98" si="5">SUM(B67:G67)</f>
        <v>556393.62</v>
      </c>
      <c r="I67" s="39">
        <f>H67-G65</f>
        <v>1139.1899999999441</v>
      </c>
      <c r="J67" t="s">
        <v>32</v>
      </c>
    </row>
    <row r="68" spans="1:11" x14ac:dyDescent="0.3">
      <c r="A68" s="9">
        <v>45693</v>
      </c>
      <c r="B68" s="7">
        <v>100712.19</v>
      </c>
      <c r="C68">
        <v>24406.85</v>
      </c>
      <c r="D68" s="6">
        <v>319045.15000000002</v>
      </c>
      <c r="E68" s="6">
        <v>63072.42</v>
      </c>
      <c r="F68" s="7">
        <v>14810</v>
      </c>
      <c r="G68" s="6">
        <v>29369.200000000001</v>
      </c>
      <c r="H68" s="31">
        <f t="shared" si="5"/>
        <v>551415.81000000006</v>
      </c>
      <c r="I68" s="41">
        <f t="shared" ref="I68:I93" si="6">H68-H67</f>
        <v>-4977.8099999999395</v>
      </c>
      <c r="J68" s="42">
        <f>I67+I68+I69+I70+I71+I72</f>
        <v>9062.6999999999534</v>
      </c>
    </row>
    <row r="69" spans="1:11" x14ac:dyDescent="0.3">
      <c r="A69" s="9">
        <v>45698</v>
      </c>
      <c r="B69" s="6">
        <v>100878.02</v>
      </c>
      <c r="C69">
        <v>24406.85</v>
      </c>
      <c r="D69">
        <v>319045.15000000002</v>
      </c>
      <c r="E69" s="6">
        <v>69403.42</v>
      </c>
      <c r="F69" s="7">
        <v>12010</v>
      </c>
      <c r="G69" s="6">
        <v>41853.730000000003</v>
      </c>
      <c r="H69" s="31">
        <f t="shared" si="5"/>
        <v>567597.16999999993</v>
      </c>
      <c r="I69" s="39">
        <f t="shared" si="6"/>
        <v>16181.35999999987</v>
      </c>
    </row>
    <row r="70" spans="1:11" x14ac:dyDescent="0.3">
      <c r="A70" s="9">
        <v>45710</v>
      </c>
      <c r="B70" s="7">
        <v>82371.77</v>
      </c>
      <c r="C70">
        <v>24406.85</v>
      </c>
      <c r="D70" s="7">
        <v>312866.17</v>
      </c>
      <c r="E70">
        <v>69403.42</v>
      </c>
      <c r="F70" s="6">
        <v>15000</v>
      </c>
      <c r="G70" s="6">
        <v>123463.17</v>
      </c>
      <c r="H70" s="31">
        <f t="shared" si="5"/>
        <v>627511.38</v>
      </c>
      <c r="I70" s="39">
        <f t="shared" si="6"/>
        <v>59914.210000000079</v>
      </c>
    </row>
    <row r="71" spans="1:11" x14ac:dyDescent="0.3">
      <c r="A71" s="9">
        <v>45712</v>
      </c>
      <c r="B71" s="6">
        <v>82812.36</v>
      </c>
      <c r="C71">
        <v>24406.85</v>
      </c>
      <c r="D71" s="7">
        <v>266827.89</v>
      </c>
      <c r="E71" s="6">
        <v>71637.460000000006</v>
      </c>
      <c r="F71">
        <v>15000</v>
      </c>
      <c r="G71" s="6">
        <v>131223.17000000001</v>
      </c>
      <c r="H71" s="31">
        <f t="shared" si="5"/>
        <v>591907.73</v>
      </c>
      <c r="I71" s="41">
        <f t="shared" si="6"/>
        <v>-35603.650000000023</v>
      </c>
    </row>
    <row r="72" spans="1:11" x14ac:dyDescent="0.3">
      <c r="A72" s="9">
        <v>45715</v>
      </c>
      <c r="B72" s="6">
        <v>82874.759999999995</v>
      </c>
      <c r="C72">
        <v>24406.85</v>
      </c>
      <c r="D72" s="7">
        <v>229827.89</v>
      </c>
      <c r="E72">
        <v>71637.460000000006</v>
      </c>
      <c r="F72">
        <v>15000</v>
      </c>
      <c r="G72" s="6">
        <v>140570.17000000001</v>
      </c>
      <c r="H72" s="31">
        <f t="shared" si="5"/>
        <v>564317.13</v>
      </c>
      <c r="I72" s="41">
        <f t="shared" si="6"/>
        <v>-27590.599999999977</v>
      </c>
    </row>
    <row r="73" spans="1:11" x14ac:dyDescent="0.3">
      <c r="A73" s="2">
        <v>45719</v>
      </c>
      <c r="B73" s="6">
        <v>82957.94</v>
      </c>
      <c r="C73">
        <v>24406.85</v>
      </c>
      <c r="D73" s="7">
        <f>189538.04-28000</f>
        <v>161538.04</v>
      </c>
      <c r="E73" s="6">
        <v>80406.460000000006</v>
      </c>
      <c r="F73">
        <v>15000</v>
      </c>
      <c r="G73" s="6">
        <v>149965.34</v>
      </c>
      <c r="H73" s="31">
        <f t="shared" si="5"/>
        <v>514274.63</v>
      </c>
      <c r="I73" s="41">
        <f t="shared" si="6"/>
        <v>-50042.5</v>
      </c>
      <c r="J73" t="s">
        <v>34</v>
      </c>
      <c r="K73" s="23" t="s">
        <v>25</v>
      </c>
    </row>
    <row r="74" spans="1:11" x14ac:dyDescent="0.3">
      <c r="A74" s="9">
        <v>45721</v>
      </c>
      <c r="B74" s="6">
        <v>83180.83</v>
      </c>
      <c r="C74">
        <v>24406.85</v>
      </c>
      <c r="D74" s="7">
        <v>160396.69</v>
      </c>
      <c r="E74" s="6">
        <v>81837.460000000006</v>
      </c>
      <c r="F74">
        <v>15000</v>
      </c>
      <c r="G74">
        <v>149965.34</v>
      </c>
      <c r="H74" s="31">
        <f t="shared" si="5"/>
        <v>514787.17000000004</v>
      </c>
      <c r="I74" s="39">
        <f t="shared" si="6"/>
        <v>512.54000000003725</v>
      </c>
      <c r="J74" s="42">
        <f>I73+I74+I75+I76+I77</f>
        <v>161282.74</v>
      </c>
      <c r="K74" s="42">
        <f>J74+J79+J87</f>
        <v>236081.69999999995</v>
      </c>
    </row>
    <row r="75" spans="1:11" x14ac:dyDescent="0.3">
      <c r="A75" s="2">
        <v>45731</v>
      </c>
      <c r="B75" s="6">
        <v>187056.9</v>
      </c>
      <c r="C75" s="7">
        <v>19735.18</v>
      </c>
      <c r="D75" s="6">
        <v>257532.46</v>
      </c>
      <c r="E75" s="6">
        <v>83445.31</v>
      </c>
      <c r="F75" s="6">
        <v>15160</v>
      </c>
      <c r="G75" s="7">
        <v>146991.79999999999</v>
      </c>
      <c r="H75" s="31">
        <f t="shared" si="5"/>
        <v>709921.64999999991</v>
      </c>
      <c r="I75" s="39">
        <f t="shared" si="6"/>
        <v>195134.47999999986</v>
      </c>
    </row>
    <row r="76" spans="1:11" x14ac:dyDescent="0.3">
      <c r="A76" s="2">
        <v>45740</v>
      </c>
      <c r="B76" s="6">
        <v>206785.24</v>
      </c>
      <c r="C76">
        <v>19735.18</v>
      </c>
      <c r="D76" s="6">
        <v>281191.37</v>
      </c>
      <c r="E76" s="6">
        <v>83994.31</v>
      </c>
      <c r="F76" s="43">
        <v>13860</v>
      </c>
      <c r="G76" s="6">
        <v>149932.76999999999</v>
      </c>
      <c r="H76" s="31">
        <f t="shared" si="5"/>
        <v>755498.87</v>
      </c>
      <c r="I76" s="39">
        <f t="shared" si="6"/>
        <v>45577.220000000088</v>
      </c>
    </row>
    <row r="77" spans="1:11" x14ac:dyDescent="0.3">
      <c r="A77" s="9">
        <v>45742</v>
      </c>
      <c r="B77" s="6">
        <v>229225.24</v>
      </c>
      <c r="C77">
        <v>19735.18</v>
      </c>
      <c r="D77" s="7">
        <f>281592.37-37783</f>
        <v>243809.37</v>
      </c>
      <c r="E77">
        <v>83994.31</v>
      </c>
      <c r="F77" s="16"/>
      <c r="G77" s="7">
        <f>149932.77-1097</f>
        <v>148835.76999999999</v>
      </c>
      <c r="H77" s="31">
        <f t="shared" si="5"/>
        <v>725599.87</v>
      </c>
      <c r="I77" s="41">
        <f t="shared" si="6"/>
        <v>-29899</v>
      </c>
    </row>
    <row r="78" spans="1:11" x14ac:dyDescent="0.3">
      <c r="A78" s="9">
        <v>45749</v>
      </c>
      <c r="B78" s="6">
        <v>254114.27</v>
      </c>
      <c r="C78" s="7">
        <v>14370.62</v>
      </c>
      <c r="D78" s="6">
        <v>246939.32</v>
      </c>
      <c r="E78" s="7">
        <v>72110.31</v>
      </c>
      <c r="F78" s="6">
        <v>15000</v>
      </c>
      <c r="G78" s="7">
        <v>143607.26999999999</v>
      </c>
      <c r="H78" s="31">
        <f t="shared" si="5"/>
        <v>746141.79</v>
      </c>
      <c r="I78" s="39">
        <f t="shared" si="6"/>
        <v>20541.920000000042</v>
      </c>
      <c r="J78" t="s">
        <v>35</v>
      </c>
    </row>
    <row r="79" spans="1:11" x14ac:dyDescent="0.3">
      <c r="A79" s="9">
        <v>45751</v>
      </c>
      <c r="B79" s="6">
        <v>257457.96</v>
      </c>
      <c r="C79">
        <v>14370.62</v>
      </c>
      <c r="D79" s="6">
        <v>247498.01</v>
      </c>
      <c r="E79" s="7">
        <v>67481.31</v>
      </c>
      <c r="F79">
        <v>15000</v>
      </c>
      <c r="G79" s="6">
        <v>146841.98000000001</v>
      </c>
      <c r="H79" s="31">
        <f t="shared" si="5"/>
        <v>748649.88</v>
      </c>
      <c r="I79" s="39">
        <f t="shared" si="6"/>
        <v>2508.0899999999674</v>
      </c>
      <c r="J79" s="38">
        <f>I78+I79+I80+I81+I82+I83+I84+I85</f>
        <v>-43215.599999999977</v>
      </c>
    </row>
    <row r="80" spans="1:11" x14ac:dyDescent="0.3">
      <c r="A80" s="9">
        <v>45758</v>
      </c>
      <c r="B80" s="6">
        <v>285765.81</v>
      </c>
      <c r="C80">
        <v>14370.62</v>
      </c>
      <c r="D80" s="6">
        <v>247739.67</v>
      </c>
      <c r="E80" s="7">
        <v>28096.92</v>
      </c>
      <c r="F80">
        <v>15160</v>
      </c>
      <c r="G80" s="7">
        <f>146841.98-915.61</f>
        <v>145926.37000000002</v>
      </c>
      <c r="H80" s="31">
        <f t="shared" si="5"/>
        <v>737059.39</v>
      </c>
      <c r="I80" s="41">
        <f t="shared" si="6"/>
        <v>-11590.489999999991</v>
      </c>
    </row>
    <row r="81" spans="1:11" x14ac:dyDescent="0.3">
      <c r="A81" s="9">
        <v>45762</v>
      </c>
      <c r="B81" s="6">
        <v>298961.77</v>
      </c>
      <c r="C81">
        <v>14370.62</v>
      </c>
      <c r="D81" s="6">
        <v>315129.17</v>
      </c>
      <c r="E81" s="6">
        <v>30555.919999999998</v>
      </c>
      <c r="F81" s="7">
        <v>8710</v>
      </c>
      <c r="G81" s="7">
        <v>94226.37</v>
      </c>
      <c r="H81" s="31">
        <f t="shared" si="5"/>
        <v>761953.85000000009</v>
      </c>
      <c r="I81" s="39">
        <f t="shared" si="6"/>
        <v>24894.460000000079</v>
      </c>
    </row>
    <row r="82" spans="1:11" x14ac:dyDescent="0.3">
      <c r="A82" s="9">
        <v>45769</v>
      </c>
      <c r="B82" s="6">
        <v>299821.13</v>
      </c>
      <c r="C82">
        <v>14370.62</v>
      </c>
      <c r="D82" s="6">
        <v>316825.96999999997</v>
      </c>
      <c r="E82" s="6">
        <v>60784.87</v>
      </c>
      <c r="F82">
        <v>8710</v>
      </c>
      <c r="G82" s="7">
        <f>105214.32-53740</f>
        <v>51474.320000000007</v>
      </c>
      <c r="H82" s="31">
        <f t="shared" si="5"/>
        <v>751986.90999999992</v>
      </c>
      <c r="I82" s="41">
        <f t="shared" si="6"/>
        <v>-9966.940000000177</v>
      </c>
    </row>
    <row r="83" spans="1:11" x14ac:dyDescent="0.3">
      <c r="A83" s="9">
        <v>45773</v>
      </c>
      <c r="B83" s="6">
        <v>299999.25</v>
      </c>
      <c r="C83">
        <v>14370.62</v>
      </c>
      <c r="D83" s="7">
        <v>297560.65000000002</v>
      </c>
      <c r="E83" s="6">
        <v>65764.800000000003</v>
      </c>
      <c r="F83" s="7">
        <v>6283.81</v>
      </c>
      <c r="G83" s="7">
        <v>34916.78</v>
      </c>
      <c r="H83" s="31">
        <f t="shared" si="5"/>
        <v>718895.91000000015</v>
      </c>
      <c r="I83" s="41">
        <f t="shared" si="6"/>
        <v>-33090.999999999767</v>
      </c>
    </row>
    <row r="84" spans="1:11" x14ac:dyDescent="0.3">
      <c r="A84" s="9">
        <v>45776</v>
      </c>
      <c r="B84" s="6">
        <v>299999.99</v>
      </c>
      <c r="C84" s="7">
        <v>8978.2900000000009</v>
      </c>
      <c r="D84" s="6">
        <v>298498.65000000002</v>
      </c>
      <c r="E84" s="7">
        <v>64688.160000000003</v>
      </c>
      <c r="F84" s="7">
        <v>4994.3999999999996</v>
      </c>
      <c r="G84">
        <v>34916.78</v>
      </c>
      <c r="H84" s="31">
        <f t="shared" si="5"/>
        <v>712076.27</v>
      </c>
      <c r="I84" s="41">
        <f t="shared" si="6"/>
        <v>-6819.6400000001304</v>
      </c>
    </row>
    <row r="85" spans="1:11" x14ac:dyDescent="0.3">
      <c r="A85" s="9">
        <v>45777</v>
      </c>
      <c r="B85">
        <v>299999.99</v>
      </c>
      <c r="C85">
        <v>8978.2900000000009</v>
      </c>
      <c r="D85" s="7">
        <f>298498.65+718-23648.23</f>
        <v>275568.42000000004</v>
      </c>
      <c r="E85" s="7">
        <v>57926.39</v>
      </c>
      <c r="F85">
        <v>4994.3999999999996</v>
      </c>
      <c r="G85">
        <v>34916.78</v>
      </c>
      <c r="H85" s="31">
        <f t="shared" si="5"/>
        <v>682384.27</v>
      </c>
      <c r="I85" s="41">
        <f t="shared" si="6"/>
        <v>-29692</v>
      </c>
    </row>
    <row r="86" spans="1:11" x14ac:dyDescent="0.3">
      <c r="A86" s="9">
        <v>45787</v>
      </c>
      <c r="B86" s="6">
        <v>300000</v>
      </c>
      <c r="C86">
        <v>8978.2900000000009</v>
      </c>
      <c r="D86" s="7">
        <v>272695.42</v>
      </c>
      <c r="E86" s="6">
        <v>74117.899999999994</v>
      </c>
      <c r="F86" s="6">
        <v>10256.879999999999</v>
      </c>
      <c r="G86" s="6">
        <v>40924.19</v>
      </c>
      <c r="H86" s="31">
        <f t="shared" si="5"/>
        <v>706972.67999999993</v>
      </c>
      <c r="I86" s="39">
        <f t="shared" si="6"/>
        <v>24588.409999999916</v>
      </c>
      <c r="J86" t="s">
        <v>36</v>
      </c>
    </row>
    <row r="87" spans="1:11" x14ac:dyDescent="0.3">
      <c r="A87" s="9">
        <v>45791</v>
      </c>
      <c r="B87" s="7">
        <v>293102.48</v>
      </c>
      <c r="C87">
        <v>8978.2900000000009</v>
      </c>
      <c r="D87" s="7">
        <v>247626.18</v>
      </c>
      <c r="E87" s="6">
        <v>78547.179999999993</v>
      </c>
      <c r="F87" s="6">
        <v>15000</v>
      </c>
      <c r="G87" s="6">
        <v>90487.83</v>
      </c>
      <c r="H87" s="31">
        <f t="shared" si="5"/>
        <v>733741.95999999985</v>
      </c>
      <c r="I87" s="39">
        <f t="shared" si="6"/>
        <v>26769.279999999912</v>
      </c>
      <c r="J87" s="42">
        <f>I86+I87+I88+I89+I90</f>
        <v>118014.55999999994</v>
      </c>
    </row>
    <row r="88" spans="1:11" x14ac:dyDescent="0.3">
      <c r="A88" s="9">
        <v>45793</v>
      </c>
      <c r="B88" s="6">
        <v>294725.48</v>
      </c>
      <c r="C88">
        <v>8978.2900000000009</v>
      </c>
      <c r="D88" s="7">
        <f>248075.18-25000</f>
        <v>223075.18</v>
      </c>
      <c r="E88" s="6">
        <v>81744</v>
      </c>
      <c r="F88">
        <v>15000</v>
      </c>
      <c r="G88">
        <v>90487.83</v>
      </c>
      <c r="H88" s="31">
        <f t="shared" si="5"/>
        <v>714010.77999999991</v>
      </c>
      <c r="I88" s="41">
        <f t="shared" si="6"/>
        <v>-19731.179999999935</v>
      </c>
    </row>
    <row r="89" spans="1:11" x14ac:dyDescent="0.3">
      <c r="A89" s="9">
        <v>45803</v>
      </c>
      <c r="B89" s="6">
        <v>296925.48</v>
      </c>
      <c r="C89">
        <v>8978.2900000000009</v>
      </c>
      <c r="D89" s="6">
        <v>283721.40999999997</v>
      </c>
      <c r="E89" s="6">
        <v>84963</v>
      </c>
      <c r="F89" s="7">
        <v>7967</v>
      </c>
      <c r="G89" s="6">
        <v>139789.82999999999</v>
      </c>
      <c r="H89" s="31">
        <f t="shared" si="5"/>
        <v>822345.00999999989</v>
      </c>
      <c r="I89" s="39">
        <f t="shared" si="6"/>
        <v>108334.22999999998</v>
      </c>
    </row>
    <row r="90" spans="1:11" x14ac:dyDescent="0.3">
      <c r="A90" s="9">
        <v>45807</v>
      </c>
      <c r="B90">
        <v>296925.48</v>
      </c>
      <c r="C90">
        <v>8978.2900000000009</v>
      </c>
      <c r="D90" s="7">
        <v>266853.23</v>
      </c>
      <c r="E90">
        <v>84963</v>
      </c>
      <c r="F90" s="7">
        <v>2889</v>
      </c>
      <c r="G90">
        <v>139789.82999999999</v>
      </c>
      <c r="H90" s="31">
        <f t="shared" si="5"/>
        <v>800398.83</v>
      </c>
      <c r="I90" s="41">
        <f t="shared" si="6"/>
        <v>-21946.179999999935</v>
      </c>
    </row>
    <row r="91" spans="1:11" x14ac:dyDescent="0.3">
      <c r="A91" s="9">
        <v>45809</v>
      </c>
      <c r="B91">
        <v>296925.48</v>
      </c>
      <c r="C91">
        <v>8978.2900000000009</v>
      </c>
      <c r="D91" s="7">
        <v>262461.43</v>
      </c>
      <c r="E91">
        <v>84963</v>
      </c>
      <c r="F91">
        <v>2889</v>
      </c>
      <c r="G91">
        <v>139789.82999999999</v>
      </c>
      <c r="H91" s="31">
        <f t="shared" si="5"/>
        <v>796007.02999999991</v>
      </c>
      <c r="I91" s="41">
        <f t="shared" si="6"/>
        <v>-4391.8000000000466</v>
      </c>
      <c r="J91" t="s">
        <v>20</v>
      </c>
      <c r="K91" s="23" t="s">
        <v>26</v>
      </c>
    </row>
    <row r="92" spans="1:11" x14ac:dyDescent="0.3">
      <c r="A92" s="9">
        <v>45812</v>
      </c>
      <c r="B92">
        <v>291886.58</v>
      </c>
      <c r="C92" s="7">
        <v>3517.89</v>
      </c>
      <c r="D92" s="7">
        <f>245977.36-20850-10697.27</f>
        <v>214430.09</v>
      </c>
      <c r="E92">
        <v>84963</v>
      </c>
      <c r="F92" s="6">
        <v>15000</v>
      </c>
      <c r="G92" s="7">
        <f>141272.83-200-2825.83</f>
        <v>138247</v>
      </c>
      <c r="H92" s="31">
        <f t="shared" si="5"/>
        <v>748044.56</v>
      </c>
      <c r="I92" s="41">
        <f t="shared" si="6"/>
        <v>-47962.469999999856</v>
      </c>
      <c r="J92" s="38">
        <f>I91+I92+I93+I94+I95+I96+I97+I98</f>
        <v>-52130.959999999846</v>
      </c>
      <c r="K92" s="38">
        <f>J92+I101+I103</f>
        <v>-56128.939999999828</v>
      </c>
    </row>
    <row r="93" spans="1:11" x14ac:dyDescent="0.3">
      <c r="A93" s="9">
        <v>45813</v>
      </c>
      <c r="B93" s="7">
        <v>228257.58</v>
      </c>
      <c r="C93">
        <v>3517.89</v>
      </c>
      <c r="D93" s="6">
        <f>218415.27+60000</f>
        <v>278415.27</v>
      </c>
      <c r="E93">
        <v>84963</v>
      </c>
      <c r="F93">
        <v>15000</v>
      </c>
      <c r="G93">
        <f>141272.83-200-2825.83</f>
        <v>138247</v>
      </c>
      <c r="H93" s="31">
        <f t="shared" si="5"/>
        <v>748400.74</v>
      </c>
      <c r="I93" s="39">
        <f t="shared" si="6"/>
        <v>356.17999999993481</v>
      </c>
    </row>
    <row r="94" spans="1:11" x14ac:dyDescent="0.3">
      <c r="A94" s="9">
        <v>45814</v>
      </c>
      <c r="B94" s="7">
        <v>227857.58</v>
      </c>
      <c r="C94">
        <v>3517.89</v>
      </c>
      <c r="D94" s="6">
        <v>280156.99</v>
      </c>
      <c r="E94">
        <v>84963</v>
      </c>
      <c r="F94">
        <v>15000</v>
      </c>
      <c r="G94">
        <f>141272.83-200-2825.83</f>
        <v>138247</v>
      </c>
      <c r="H94" s="31">
        <f t="shared" si="5"/>
        <v>749742.46</v>
      </c>
      <c r="I94" s="39">
        <f>H94-H93</f>
        <v>1341.7199999999721</v>
      </c>
    </row>
    <row r="95" spans="1:11" x14ac:dyDescent="0.3">
      <c r="A95" s="9">
        <v>45820</v>
      </c>
      <c r="B95" s="7">
        <v>192736.58</v>
      </c>
      <c r="C95">
        <v>3517.89</v>
      </c>
      <c r="D95" s="6">
        <v>319436.62</v>
      </c>
      <c r="E95">
        <v>84963</v>
      </c>
      <c r="F95">
        <v>15000</v>
      </c>
      <c r="G95" s="6">
        <v>148372.15</v>
      </c>
      <c r="H95" s="31">
        <f t="shared" si="5"/>
        <v>764026.24</v>
      </c>
      <c r="I95" s="39">
        <f>H95-H94</f>
        <v>14283.780000000028</v>
      </c>
    </row>
    <row r="96" spans="1:11" x14ac:dyDescent="0.3">
      <c r="A96" s="9">
        <v>45827</v>
      </c>
      <c r="B96" s="6">
        <v>209863.65</v>
      </c>
      <c r="C96">
        <v>3517.89</v>
      </c>
      <c r="D96" s="6">
        <v>319880.59000000003</v>
      </c>
      <c r="E96" s="6">
        <v>84971.62</v>
      </c>
      <c r="F96" s="6">
        <v>15160</v>
      </c>
      <c r="G96" s="6">
        <v>149934.04999999999</v>
      </c>
      <c r="H96" s="31">
        <f t="shared" si="5"/>
        <v>783327.8</v>
      </c>
      <c r="I96" s="39">
        <f>H96-H95</f>
        <v>19301.560000000056</v>
      </c>
    </row>
    <row r="97" spans="1:11" x14ac:dyDescent="0.3">
      <c r="A97" s="9">
        <v>45829</v>
      </c>
      <c r="B97" s="7">
        <v>207583.05</v>
      </c>
      <c r="C97">
        <v>3517.89</v>
      </c>
      <c r="D97" s="7">
        <v>301927.09000000003</v>
      </c>
      <c r="E97" s="7">
        <v>74425.09</v>
      </c>
      <c r="F97">
        <v>15160</v>
      </c>
      <c r="G97">
        <v>149934.04999999999</v>
      </c>
      <c r="H97" s="31">
        <f t="shared" si="5"/>
        <v>752547.16999999993</v>
      </c>
      <c r="I97" s="41">
        <f>H97-H96</f>
        <v>-30780.630000000121</v>
      </c>
    </row>
    <row r="98" spans="1:11" ht="15" thickBot="1" x14ac:dyDescent="0.35">
      <c r="A98" s="9">
        <v>45834</v>
      </c>
      <c r="B98" s="6">
        <v>237957.75</v>
      </c>
      <c r="C98">
        <v>3517.89</v>
      </c>
      <c r="D98" s="7">
        <v>278644.09000000003</v>
      </c>
      <c r="E98" s="6">
        <v>78212.09</v>
      </c>
      <c r="F98" s="16"/>
      <c r="G98" s="6">
        <v>149936.04999999999</v>
      </c>
      <c r="H98" s="31">
        <f t="shared" si="5"/>
        <v>748267.87000000011</v>
      </c>
      <c r="I98" s="41">
        <f>H98-H97</f>
        <v>-4279.2999999998137</v>
      </c>
    </row>
    <row r="99" spans="1:11" ht="15.6" thickTop="1" thickBot="1" x14ac:dyDescent="0.35">
      <c r="A99" s="9"/>
      <c r="B99" s="1" t="s">
        <v>0</v>
      </c>
      <c r="C99" s="1" t="s">
        <v>2</v>
      </c>
      <c r="D99" s="1" t="s">
        <v>37</v>
      </c>
      <c r="E99" s="1" t="s">
        <v>14</v>
      </c>
      <c r="F99" s="1" t="s">
        <v>3</v>
      </c>
      <c r="G99" s="25" t="s">
        <v>7</v>
      </c>
      <c r="H99" s="24"/>
      <c r="I99" s="24"/>
    </row>
    <row r="100" spans="1:11" ht="15" thickTop="1" x14ac:dyDescent="0.3">
      <c r="A100" s="9">
        <v>45854</v>
      </c>
      <c r="B100" s="7">
        <v>235883.91</v>
      </c>
      <c r="C100" s="7">
        <v>246065.08</v>
      </c>
      <c r="D100" s="7">
        <v>39578.69</v>
      </c>
      <c r="E100" s="6">
        <v>75164.67</v>
      </c>
      <c r="F100" s="7">
        <v>118736.05</v>
      </c>
      <c r="G100" s="31">
        <f>SUM(B100:F100)</f>
        <v>715428.4</v>
      </c>
      <c r="H100" s="50">
        <f>715428.4-748267.87</f>
        <v>-32839.469999999972</v>
      </c>
      <c r="I100" t="s">
        <v>19</v>
      </c>
    </row>
    <row r="101" spans="1:11" x14ac:dyDescent="0.3">
      <c r="A101" s="9">
        <v>45869</v>
      </c>
      <c r="B101" s="6">
        <v>279544.12</v>
      </c>
      <c r="C101">
        <v>246065.08</v>
      </c>
      <c r="D101" s="6">
        <v>77060.08</v>
      </c>
      <c r="E101" s="16"/>
      <c r="F101">
        <v>118736.05</v>
      </c>
      <c r="G101" s="31">
        <f>SUM(B101:F101)</f>
        <v>721405.33</v>
      </c>
      <c r="H101" s="39">
        <f>G101-G100</f>
        <v>5976.9299999999348</v>
      </c>
      <c r="I101" s="38">
        <f>H100+H101</f>
        <v>-26862.540000000037</v>
      </c>
    </row>
    <row r="102" spans="1:11" x14ac:dyDescent="0.3">
      <c r="A102" s="9">
        <v>45877</v>
      </c>
      <c r="B102" s="6">
        <v>299714.42</v>
      </c>
      <c r="C102" s="7">
        <v>239065.08</v>
      </c>
      <c r="D102" s="6">
        <v>84878.57</v>
      </c>
      <c r="E102" s="6">
        <v>65706.559999999998</v>
      </c>
      <c r="F102" s="7">
        <f>119943.39-53300</f>
        <v>66643.39</v>
      </c>
      <c r="G102" s="31">
        <f>SUM(B102:F102)</f>
        <v>756008.02000000014</v>
      </c>
      <c r="H102" s="52">
        <f>G102-G101</f>
        <v>34602.690000000177</v>
      </c>
      <c r="I102" t="s">
        <v>17</v>
      </c>
    </row>
    <row r="103" spans="1:11" ht="15" thickBot="1" x14ac:dyDescent="0.35">
      <c r="A103" s="9">
        <v>45889</v>
      </c>
      <c r="B103" s="6">
        <v>299839.42</v>
      </c>
      <c r="C103">
        <v>239065.08</v>
      </c>
      <c r="D103">
        <v>84878.57</v>
      </c>
      <c r="E103" s="6">
        <v>97243.43</v>
      </c>
      <c r="F103" s="7">
        <v>23243.39</v>
      </c>
      <c r="G103" s="31">
        <f>SUM(B103:F103)</f>
        <v>744269.89</v>
      </c>
      <c r="H103" s="51">
        <f>G103-G102</f>
        <v>-11738.130000000121</v>
      </c>
      <c r="I103" s="42">
        <f>H102+H103</f>
        <v>22864.560000000056</v>
      </c>
    </row>
    <row r="104" spans="1:11" ht="15.6" thickTop="1" thickBot="1" x14ac:dyDescent="0.35">
      <c r="A104" s="9"/>
      <c r="B104" s="1" t="s">
        <v>0</v>
      </c>
      <c r="C104" s="1" t="s">
        <v>2</v>
      </c>
      <c r="D104" s="1" t="s">
        <v>40</v>
      </c>
      <c r="E104" s="1" t="s">
        <v>14</v>
      </c>
      <c r="F104" s="1" t="s">
        <v>3</v>
      </c>
      <c r="G104" s="1" t="s">
        <v>38</v>
      </c>
      <c r="H104" s="25" t="s">
        <v>7</v>
      </c>
      <c r="I104"/>
    </row>
    <row r="105" spans="1:11" ht="15" thickTop="1" x14ac:dyDescent="0.3">
      <c r="A105" s="9">
        <v>45905</v>
      </c>
      <c r="B105" s="7">
        <v>297510.18</v>
      </c>
      <c r="C105" s="7">
        <f>221155.43-27200</f>
        <v>193955.43</v>
      </c>
      <c r="D105">
        <v>84873.46</v>
      </c>
      <c r="E105" s="6">
        <v>100000</v>
      </c>
      <c r="F105" s="7">
        <v>12912.54</v>
      </c>
      <c r="G105" s="6">
        <v>15000</v>
      </c>
      <c r="H105" s="31">
        <f t="shared" ref="H105:H113" si="7">SUM(B105:G105)</f>
        <v>704251.61</v>
      </c>
      <c r="I105" s="51">
        <f>H105-G103</f>
        <v>-40018.280000000028</v>
      </c>
      <c r="J105" t="s">
        <v>18</v>
      </c>
      <c r="K105" s="23" t="s">
        <v>39</v>
      </c>
    </row>
    <row r="106" spans="1:11" x14ac:dyDescent="0.3">
      <c r="A106" s="9">
        <v>45920</v>
      </c>
      <c r="B106" s="7">
        <v>259939.12</v>
      </c>
      <c r="C106" s="7">
        <v>148255.43</v>
      </c>
      <c r="D106">
        <v>84873.46</v>
      </c>
      <c r="E106" s="6">
        <v>100160</v>
      </c>
      <c r="F106">
        <v>12912.54</v>
      </c>
      <c r="G106" s="6">
        <v>15369.22</v>
      </c>
      <c r="H106" s="31">
        <f t="shared" si="7"/>
        <v>621509.77</v>
      </c>
      <c r="I106" s="41">
        <f t="shared" ref="I106:I113" si="8">H106-H105</f>
        <v>-82741.839999999967</v>
      </c>
      <c r="J106" s="38">
        <f>I105+I106+I107</f>
        <v>-117424.29000000004</v>
      </c>
      <c r="K106" s="56">
        <f>J106+J109+J112</f>
        <v>-134643.10000000009</v>
      </c>
    </row>
    <row r="107" spans="1:11" x14ac:dyDescent="0.3">
      <c r="A107" s="9">
        <v>45930</v>
      </c>
      <c r="B107" s="6">
        <v>264580.83</v>
      </c>
      <c r="C107">
        <v>148255.43</v>
      </c>
      <c r="D107" s="6">
        <v>84982.34</v>
      </c>
      <c r="E107" s="7">
        <v>100000</v>
      </c>
      <c r="F107">
        <v>12912.54</v>
      </c>
      <c r="G107" s="6">
        <v>16114.46</v>
      </c>
      <c r="H107" s="31">
        <f t="shared" si="7"/>
        <v>626845.6</v>
      </c>
      <c r="I107" s="39">
        <f t="shared" si="8"/>
        <v>5335.8299999999581</v>
      </c>
    </row>
    <row r="108" spans="1:11" x14ac:dyDescent="0.3">
      <c r="A108" s="9">
        <v>45936</v>
      </c>
      <c r="B108" s="7">
        <v>203561.98</v>
      </c>
      <c r="C108" s="7">
        <f>163096.17-16000</f>
        <v>147096.17000000001</v>
      </c>
      <c r="D108" s="7">
        <v>82473.22</v>
      </c>
      <c r="E108">
        <v>100000</v>
      </c>
      <c r="F108" s="7">
        <v>12563.97</v>
      </c>
      <c r="G108" s="7">
        <v>15089.51</v>
      </c>
      <c r="H108" s="31">
        <f t="shared" si="7"/>
        <v>560784.85</v>
      </c>
      <c r="I108" s="41">
        <f t="shared" si="8"/>
        <v>-66060.75</v>
      </c>
      <c r="J108" t="s">
        <v>23</v>
      </c>
    </row>
    <row r="109" spans="1:11" x14ac:dyDescent="0.3">
      <c r="A109" s="9">
        <v>45951</v>
      </c>
      <c r="B109" s="6">
        <v>241152.16</v>
      </c>
      <c r="C109" s="7">
        <f>163096.17-16000-1700-15000-15000-10900-5000</f>
        <v>99496.170000000013</v>
      </c>
      <c r="D109" s="6">
        <v>85043.01</v>
      </c>
      <c r="E109" s="6">
        <v>106207.77</v>
      </c>
      <c r="F109">
        <v>12563.97</v>
      </c>
      <c r="G109" s="6">
        <v>15635.61</v>
      </c>
      <c r="H109" s="31">
        <f t="shared" si="7"/>
        <v>560098.68999999994</v>
      </c>
      <c r="I109" s="41">
        <f t="shared" si="8"/>
        <v>-686.1600000000326</v>
      </c>
      <c r="J109" s="38">
        <f>I108+I109+I110</f>
        <v>-93125.809999999939</v>
      </c>
    </row>
    <row r="110" spans="1:11" x14ac:dyDescent="0.3">
      <c r="A110" s="9">
        <v>45953</v>
      </c>
      <c r="B110" s="6">
        <v>241682.35</v>
      </c>
      <c r="C110">
        <f>163096.17-16000-1700-15000-15000-10900-5000</f>
        <v>99496.170000000013</v>
      </c>
      <c r="D110" s="7">
        <v>68205.95</v>
      </c>
      <c r="E110" s="7">
        <v>96086.21</v>
      </c>
      <c r="F110">
        <v>12563.97</v>
      </c>
      <c r="G110" s="6">
        <v>15685.14</v>
      </c>
      <c r="H110" s="31">
        <f t="shared" si="7"/>
        <v>533719.79</v>
      </c>
      <c r="I110" s="41">
        <f t="shared" si="8"/>
        <v>-26378.899999999907</v>
      </c>
    </row>
    <row r="111" spans="1:11" x14ac:dyDescent="0.3">
      <c r="A111" s="9">
        <v>45967</v>
      </c>
      <c r="B111" s="6">
        <v>346278.59</v>
      </c>
      <c r="C111" s="6">
        <v>102769.36</v>
      </c>
      <c r="D111" s="6">
        <v>84670.37</v>
      </c>
      <c r="E111" s="7">
        <v>16805.12</v>
      </c>
      <c r="F111" s="6">
        <v>13176.32</v>
      </c>
      <c r="G111" s="6">
        <v>16237.16</v>
      </c>
      <c r="H111" s="31">
        <f t="shared" si="7"/>
        <v>579936.92000000004</v>
      </c>
      <c r="I111" s="39">
        <f t="shared" si="8"/>
        <v>46217.130000000005</v>
      </c>
      <c r="J111" t="s">
        <v>24</v>
      </c>
    </row>
    <row r="112" spans="1:11" x14ac:dyDescent="0.3">
      <c r="A112" s="9">
        <v>45981</v>
      </c>
      <c r="B112" s="6">
        <v>353440.17</v>
      </c>
      <c r="C112" s="7">
        <v>42869.36</v>
      </c>
      <c r="D112">
        <v>84670.37</v>
      </c>
      <c r="E112" s="6">
        <v>100233.41</v>
      </c>
      <c r="F112" s="7">
        <v>12176.32</v>
      </c>
      <c r="G112">
        <v>16237.16</v>
      </c>
      <c r="H112" s="31">
        <f t="shared" si="7"/>
        <v>609626.78999999992</v>
      </c>
      <c r="I112" s="39">
        <f t="shared" si="8"/>
        <v>29689.869999999879</v>
      </c>
      <c r="J112" s="42">
        <f>I111+I112</f>
        <v>75906.999999999884</v>
      </c>
    </row>
    <row r="113" spans="1:12" ht="15" thickBot="1" x14ac:dyDescent="0.35">
      <c r="A113" s="9">
        <v>46002</v>
      </c>
      <c r="B113" s="6">
        <v>427969.98</v>
      </c>
      <c r="C113" s="7">
        <v>4900.8</v>
      </c>
      <c r="D113" s="6">
        <v>84998.9</v>
      </c>
      <c r="E113" s="7">
        <v>51177.47</v>
      </c>
      <c r="F113" s="7">
        <v>170.44</v>
      </c>
      <c r="G113" s="7">
        <v>15416.58</v>
      </c>
      <c r="H113" s="31">
        <f t="shared" si="7"/>
        <v>584634.16999999981</v>
      </c>
      <c r="I113" s="41">
        <f t="shared" si="8"/>
        <v>-24992.620000000112</v>
      </c>
      <c r="J113" t="s">
        <v>29</v>
      </c>
      <c r="K113" s="23" t="s">
        <v>31</v>
      </c>
    </row>
    <row r="114" spans="1:12" ht="15.6" thickTop="1" thickBot="1" x14ac:dyDescent="0.35">
      <c r="B114" s="1" t="s">
        <v>0</v>
      </c>
      <c r="C114" s="1" t="s">
        <v>38</v>
      </c>
      <c r="D114" s="1" t="s">
        <v>40</v>
      </c>
      <c r="E114" s="1" t="s">
        <v>14</v>
      </c>
      <c r="F114" s="25" t="s">
        <v>7</v>
      </c>
      <c r="G114" s="24"/>
      <c r="H114" s="24"/>
      <c r="I114" s="24"/>
      <c r="J114" s="38">
        <f>I113+G115</f>
        <v>-2039.5499999999302</v>
      </c>
      <c r="K114" s="38">
        <f>J114+G118+G120</f>
        <v>-130895.11999999994</v>
      </c>
      <c r="L114" s="22" t="s">
        <v>41</v>
      </c>
    </row>
    <row r="115" spans="1:12" ht="15.6" thickTop="1" thickBot="1" x14ac:dyDescent="0.35">
      <c r="A115" s="9">
        <v>46014</v>
      </c>
      <c r="B115" s="7">
        <v>415705.44</v>
      </c>
      <c r="C115" s="6">
        <v>15714.24</v>
      </c>
      <c r="D115" s="7">
        <v>76421.64</v>
      </c>
      <c r="E115" s="6">
        <v>99745.919999999998</v>
      </c>
      <c r="F115" s="31">
        <f>SUM(B115:E115)</f>
        <v>607587.24</v>
      </c>
      <c r="G115" s="39">
        <f>F115-H113</f>
        <v>22953.070000000182</v>
      </c>
      <c r="I115"/>
      <c r="L115" s="40">
        <f>I64+J68+K74+K92+K106+J114</f>
        <v>16647.840000000084</v>
      </c>
    </row>
    <row r="116" spans="1:12" ht="15.6" thickTop="1" thickBot="1" x14ac:dyDescent="0.35">
      <c r="A116" s="9"/>
      <c r="B116" s="1" t="s">
        <v>0</v>
      </c>
      <c r="C116" s="1" t="s">
        <v>14</v>
      </c>
      <c r="D116" s="1" t="s">
        <v>40</v>
      </c>
      <c r="E116" s="25" t="s">
        <v>7</v>
      </c>
      <c r="F116" s="24"/>
      <c r="G116" s="24"/>
      <c r="I116"/>
    </row>
    <row r="117" spans="1:12" ht="15" thickTop="1" x14ac:dyDescent="0.3">
      <c r="A117" s="9">
        <v>46042</v>
      </c>
      <c r="B117" s="6">
        <v>430716.51</v>
      </c>
      <c r="C117" s="6">
        <v>101723.21</v>
      </c>
      <c r="D117" s="7">
        <v>72979.070000000007</v>
      </c>
      <c r="E117" s="31">
        <f t="shared" ref="E117:E122" si="9">SUM(B117:D117)</f>
        <v>605418.79</v>
      </c>
      <c r="F117" s="41">
        <f>E117-F115</f>
        <v>-2168.4499999999534</v>
      </c>
      <c r="G117" t="s">
        <v>30</v>
      </c>
      <c r="I117"/>
    </row>
    <row r="118" spans="1:12" x14ac:dyDescent="0.3">
      <c r="A118" s="9">
        <v>46046</v>
      </c>
      <c r="B118" s="6">
        <v>437829.01</v>
      </c>
      <c r="C118" s="6">
        <v>130000</v>
      </c>
      <c r="D118" s="7">
        <v>44769.94</v>
      </c>
      <c r="E118" s="31">
        <f t="shared" si="9"/>
        <v>612598.94999999995</v>
      </c>
      <c r="F118" s="39">
        <f>E118-E117</f>
        <v>7180.1599999999162</v>
      </c>
      <c r="G118" s="42">
        <f>F117+F118</f>
        <v>5011.7099999999627</v>
      </c>
      <c r="I118"/>
    </row>
    <row r="119" spans="1:12" x14ac:dyDescent="0.3">
      <c r="A119" s="9">
        <v>46054</v>
      </c>
      <c r="B119" s="6">
        <v>466858.95</v>
      </c>
      <c r="C119" s="7">
        <v>50000</v>
      </c>
      <c r="D119" s="6">
        <v>56025.62</v>
      </c>
      <c r="E119" s="31">
        <f t="shared" si="9"/>
        <v>572884.57000000007</v>
      </c>
      <c r="F119" s="41">
        <f>E119-E118</f>
        <v>-39714.379999999888</v>
      </c>
      <c r="G119" s="55" t="s">
        <v>32</v>
      </c>
      <c r="I119"/>
    </row>
    <row r="120" spans="1:12" x14ac:dyDescent="0.3">
      <c r="A120" s="9">
        <v>46058</v>
      </c>
      <c r="B120" s="7">
        <v>381641.46</v>
      </c>
      <c r="C120" s="6">
        <v>56114.79</v>
      </c>
      <c r="D120" s="6">
        <v>58716.62</v>
      </c>
      <c r="E120" s="31">
        <f t="shared" si="9"/>
        <v>496472.87</v>
      </c>
      <c r="F120" s="41">
        <f>E120-E119</f>
        <v>-76411.70000000007</v>
      </c>
      <c r="G120" s="38">
        <f>F119+F120+F121+F122</f>
        <v>-133867.27999999997</v>
      </c>
      <c r="I120"/>
    </row>
    <row r="121" spans="1:12" x14ac:dyDescent="0.3">
      <c r="A121" s="9">
        <v>46066</v>
      </c>
      <c r="B121" s="7">
        <v>370407.24</v>
      </c>
      <c r="C121" s="6">
        <v>130000</v>
      </c>
      <c r="D121" s="6">
        <v>77031.08</v>
      </c>
      <c r="E121" s="31">
        <f t="shared" si="9"/>
        <v>577438.31999999995</v>
      </c>
      <c r="F121" s="39">
        <f>E121-E120</f>
        <v>80965.449999999953</v>
      </c>
      <c r="I121"/>
    </row>
    <row r="122" spans="1:12" ht="15" thickBot="1" x14ac:dyDescent="0.35">
      <c r="A122" s="9">
        <v>46073</v>
      </c>
      <c r="B122" s="7">
        <v>282871.38</v>
      </c>
      <c r="C122">
        <v>130000</v>
      </c>
      <c r="D122" s="7">
        <v>65860.289999999994</v>
      </c>
      <c r="E122" s="31">
        <f t="shared" si="9"/>
        <v>478731.67</v>
      </c>
      <c r="F122" s="41">
        <f>E122-E121</f>
        <v>-98706.649999999965</v>
      </c>
      <c r="I122"/>
    </row>
    <row r="123" spans="1:12" ht="15.6" thickTop="1" thickBot="1" x14ac:dyDescent="0.35">
      <c r="A123" s="9"/>
      <c r="B123" s="1" t="s">
        <v>0</v>
      </c>
      <c r="C123" s="1" t="s">
        <v>14</v>
      </c>
      <c r="D123" s="1" t="s">
        <v>40</v>
      </c>
      <c r="E123" s="22" t="s">
        <v>42</v>
      </c>
      <c r="F123" s="25" t="s">
        <v>7</v>
      </c>
      <c r="I123"/>
    </row>
    <row r="124" spans="1:12" ht="15" thickTop="1" x14ac:dyDescent="0.3">
      <c r="A124" s="9">
        <v>46125</v>
      </c>
      <c r="B124" s="6">
        <v>530432.55000000005</v>
      </c>
      <c r="C124" s="6">
        <v>130160</v>
      </c>
      <c r="D124" s="7">
        <v>4096.6000000000004</v>
      </c>
      <c r="E124" s="58">
        <v>-165257.35999999999</v>
      </c>
      <c r="F124" s="31">
        <f>SUM(B124:E124)</f>
        <v>499431.79000000004</v>
      </c>
      <c r="G124" s="39">
        <f>F124-E122</f>
        <v>20700.120000000054</v>
      </c>
      <c r="H124" t="s">
        <v>35</v>
      </c>
      <c r="I124" s="23" t="s">
        <v>44</v>
      </c>
    </row>
    <row r="125" spans="1:12" x14ac:dyDescent="0.3">
      <c r="G125" s="59"/>
      <c r="H125" s="42">
        <f>G124</f>
        <v>20700.120000000054</v>
      </c>
      <c r="I125" s="42">
        <f>H125</f>
        <v>20700.120000000054</v>
      </c>
    </row>
    <row r="126" spans="1:12" x14ac:dyDescent="0.3">
      <c r="I126"/>
    </row>
    <row r="127" spans="1:12" x14ac:dyDescent="0.3">
      <c r="I127"/>
    </row>
    <row r="128" spans="1:12" x14ac:dyDescent="0.3">
      <c r="I128"/>
    </row>
    <row r="129" spans="9:9" x14ac:dyDescent="0.3">
      <c r="I129"/>
    </row>
    <row r="130" spans="9:9" x14ac:dyDescent="0.3">
      <c r="I130"/>
    </row>
    <row r="131" spans="9:9" x14ac:dyDescent="0.3">
      <c r="I131"/>
    </row>
    <row r="132" spans="9:9" x14ac:dyDescent="0.3">
      <c r="I132"/>
    </row>
    <row r="133" spans="9:9" x14ac:dyDescent="0.3">
      <c r="I133"/>
    </row>
    <row r="134" spans="9:9" x14ac:dyDescent="0.3">
      <c r="I134"/>
    </row>
    <row r="135" spans="9:9" x14ac:dyDescent="0.3">
      <c r="I135"/>
    </row>
    <row r="136" spans="9:9" x14ac:dyDescent="0.3">
      <c r="I136"/>
    </row>
    <row r="137" spans="9:9" x14ac:dyDescent="0.3">
      <c r="I137"/>
    </row>
    <row r="138" spans="9:9" x14ac:dyDescent="0.3">
      <c r="I138"/>
    </row>
    <row r="139" spans="9:9" x14ac:dyDescent="0.3">
      <c r="I139"/>
    </row>
    <row r="140" spans="9:9" x14ac:dyDescent="0.3">
      <c r="I140"/>
    </row>
    <row r="141" spans="9:9" x14ac:dyDescent="0.3">
      <c r="I141"/>
    </row>
    <row r="142" spans="9:9" x14ac:dyDescent="0.3">
      <c r="I142"/>
    </row>
    <row r="143" spans="9:9" x14ac:dyDescent="0.3">
      <c r="I143"/>
    </row>
    <row r="144" spans="9:9" x14ac:dyDescent="0.3">
      <c r="I144"/>
    </row>
    <row r="145" spans="9:9" x14ac:dyDescent="0.3">
      <c r="I145"/>
    </row>
    <row r="146" spans="9:9" x14ac:dyDescent="0.3">
      <c r="I146"/>
    </row>
    <row r="147" spans="9:9" x14ac:dyDescent="0.3">
      <c r="I147"/>
    </row>
    <row r="148" spans="9:9" x14ac:dyDescent="0.3">
      <c r="I148"/>
    </row>
    <row r="149" spans="9:9" x14ac:dyDescent="0.3">
      <c r="I149"/>
    </row>
    <row r="150" spans="9:9" x14ac:dyDescent="0.3">
      <c r="I150"/>
    </row>
    <row r="151" spans="9:9" x14ac:dyDescent="0.3">
      <c r="I151"/>
    </row>
    <row r="152" spans="9:9" x14ac:dyDescent="0.3">
      <c r="I152"/>
    </row>
    <row r="153" spans="9:9" x14ac:dyDescent="0.3">
      <c r="I153"/>
    </row>
    <row r="154" spans="9:9" x14ac:dyDescent="0.3">
      <c r="I154"/>
    </row>
    <row r="155" spans="9:9" x14ac:dyDescent="0.3">
      <c r="I155"/>
    </row>
    <row r="156" spans="9:9" x14ac:dyDescent="0.3">
      <c r="I156"/>
    </row>
    <row r="157" spans="9:9" x14ac:dyDescent="0.3">
      <c r="I157"/>
    </row>
    <row r="158" spans="9:9" x14ac:dyDescent="0.3">
      <c r="I158"/>
    </row>
    <row r="159" spans="9:9" x14ac:dyDescent="0.3">
      <c r="I159"/>
    </row>
    <row r="160" spans="9:9" x14ac:dyDescent="0.3">
      <c r="I160"/>
    </row>
    <row r="161" spans="9:9" x14ac:dyDescent="0.3">
      <c r="I161"/>
    </row>
    <row r="162" spans="9:9" x14ac:dyDescent="0.3">
      <c r="I162"/>
    </row>
    <row r="163" spans="9:9" x14ac:dyDescent="0.3">
      <c r="I163"/>
    </row>
    <row r="164" spans="9:9" x14ac:dyDescent="0.3">
      <c r="I164"/>
    </row>
    <row r="165" spans="9:9" x14ac:dyDescent="0.3">
      <c r="I165"/>
    </row>
    <row r="166" spans="9:9" x14ac:dyDescent="0.3">
      <c r="I166"/>
    </row>
    <row r="167" spans="9:9" x14ac:dyDescent="0.3">
      <c r="I167"/>
    </row>
    <row r="168" spans="9:9" x14ac:dyDescent="0.3">
      <c r="I168"/>
    </row>
    <row r="169" spans="9:9" x14ac:dyDescent="0.3">
      <c r="I169"/>
    </row>
    <row r="170" spans="9:9" x14ac:dyDescent="0.3">
      <c r="I170"/>
    </row>
    <row r="171" spans="9:9" x14ac:dyDescent="0.3">
      <c r="I171"/>
    </row>
    <row r="172" spans="9:9" x14ac:dyDescent="0.3">
      <c r="I172"/>
    </row>
    <row r="173" spans="9:9" x14ac:dyDescent="0.3">
      <c r="I173"/>
    </row>
    <row r="174" spans="9:9" x14ac:dyDescent="0.3">
      <c r="I174"/>
    </row>
    <row r="175" spans="9:9" x14ac:dyDescent="0.3">
      <c r="I175"/>
    </row>
    <row r="176" spans="9:9" x14ac:dyDescent="0.3">
      <c r="I176"/>
    </row>
    <row r="177" spans="9:9" x14ac:dyDescent="0.3">
      <c r="I177"/>
    </row>
    <row r="178" spans="9:9" x14ac:dyDescent="0.3">
      <c r="I178"/>
    </row>
    <row r="179" spans="9:9" x14ac:dyDescent="0.3">
      <c r="I179"/>
    </row>
    <row r="180" spans="9:9" x14ac:dyDescent="0.3">
      <c r="I180"/>
    </row>
    <row r="181" spans="9:9" x14ac:dyDescent="0.3">
      <c r="I181"/>
    </row>
    <row r="182" spans="9:9" x14ac:dyDescent="0.3">
      <c r="I182"/>
    </row>
    <row r="183" spans="9:9" x14ac:dyDescent="0.3">
      <c r="I183"/>
    </row>
    <row r="184" spans="9:9" x14ac:dyDescent="0.3">
      <c r="I184"/>
    </row>
    <row r="185" spans="9:9" x14ac:dyDescent="0.3">
      <c r="I185"/>
    </row>
    <row r="186" spans="9:9" x14ac:dyDescent="0.3">
      <c r="I186"/>
    </row>
    <row r="187" spans="9:9" x14ac:dyDescent="0.3">
      <c r="I187"/>
    </row>
    <row r="188" spans="9:9" x14ac:dyDescent="0.3">
      <c r="I188"/>
    </row>
    <row r="189" spans="9:9" x14ac:dyDescent="0.3">
      <c r="I189"/>
    </row>
    <row r="190" spans="9:9" x14ac:dyDescent="0.3">
      <c r="I190"/>
    </row>
    <row r="191" spans="9:9" x14ac:dyDescent="0.3">
      <c r="I191"/>
    </row>
    <row r="192" spans="9:9" x14ac:dyDescent="0.3">
      <c r="I192"/>
    </row>
    <row r="193" spans="9:9" x14ac:dyDescent="0.3">
      <c r="I193"/>
    </row>
    <row r="194" spans="9:9" x14ac:dyDescent="0.3">
      <c r="I194"/>
    </row>
    <row r="195" spans="9:9" x14ac:dyDescent="0.3">
      <c r="I195"/>
    </row>
    <row r="196" spans="9:9" x14ac:dyDescent="0.3">
      <c r="I196"/>
    </row>
    <row r="197" spans="9:9" x14ac:dyDescent="0.3">
      <c r="I197"/>
    </row>
    <row r="198" spans="9:9" x14ac:dyDescent="0.3">
      <c r="I198"/>
    </row>
    <row r="199" spans="9:9" x14ac:dyDescent="0.3">
      <c r="I199"/>
    </row>
    <row r="200" spans="9:9" x14ac:dyDescent="0.3">
      <c r="I200"/>
    </row>
    <row r="201" spans="9:9" x14ac:dyDescent="0.3">
      <c r="I201"/>
    </row>
    <row r="202" spans="9:9" x14ac:dyDescent="0.3">
      <c r="I202"/>
    </row>
    <row r="203" spans="9:9" x14ac:dyDescent="0.3">
      <c r="I203"/>
    </row>
    <row r="204" spans="9:9" x14ac:dyDescent="0.3">
      <c r="I204"/>
    </row>
    <row r="205" spans="9:9" x14ac:dyDescent="0.3">
      <c r="I205"/>
    </row>
    <row r="206" spans="9:9" x14ac:dyDescent="0.3">
      <c r="I206"/>
    </row>
    <row r="207" spans="9:9" x14ac:dyDescent="0.3">
      <c r="I207"/>
    </row>
    <row r="208" spans="9:9" x14ac:dyDescent="0.3">
      <c r="I208"/>
    </row>
    <row r="209" spans="9:9" x14ac:dyDescent="0.3">
      <c r="I209"/>
    </row>
    <row r="210" spans="9:9" x14ac:dyDescent="0.3">
      <c r="I210"/>
    </row>
    <row r="211" spans="9:9" x14ac:dyDescent="0.3">
      <c r="I211"/>
    </row>
    <row r="212" spans="9:9" x14ac:dyDescent="0.3">
      <c r="I212"/>
    </row>
    <row r="213" spans="9:9" x14ac:dyDescent="0.3">
      <c r="I213"/>
    </row>
    <row r="214" spans="9:9" x14ac:dyDescent="0.3">
      <c r="I214"/>
    </row>
    <row r="215" spans="9:9" x14ac:dyDescent="0.3">
      <c r="I215"/>
    </row>
    <row r="216" spans="9:9" x14ac:dyDescent="0.3">
      <c r="I216"/>
    </row>
    <row r="217" spans="9:9" x14ac:dyDescent="0.3">
      <c r="I217"/>
    </row>
    <row r="218" spans="9:9" x14ac:dyDescent="0.3">
      <c r="I218"/>
    </row>
    <row r="219" spans="9:9" x14ac:dyDescent="0.3">
      <c r="I219"/>
    </row>
    <row r="220" spans="9:9" x14ac:dyDescent="0.3">
      <c r="I220"/>
    </row>
    <row r="221" spans="9:9" x14ac:dyDescent="0.3">
      <c r="I221"/>
    </row>
    <row r="222" spans="9:9" x14ac:dyDescent="0.3">
      <c r="I222"/>
    </row>
    <row r="223" spans="9:9" x14ac:dyDescent="0.3">
      <c r="I223"/>
    </row>
    <row r="224" spans="9:9" x14ac:dyDescent="0.3">
      <c r="I224"/>
    </row>
    <row r="225" spans="9:9" x14ac:dyDescent="0.3">
      <c r="I225"/>
    </row>
    <row r="226" spans="9:9" x14ac:dyDescent="0.3">
      <c r="I226"/>
    </row>
    <row r="227" spans="9:9" x14ac:dyDescent="0.3">
      <c r="I227"/>
    </row>
    <row r="228" spans="9:9" x14ac:dyDescent="0.3">
      <c r="I228"/>
    </row>
    <row r="229" spans="9:9" x14ac:dyDescent="0.3">
      <c r="I229"/>
    </row>
    <row r="230" spans="9:9" x14ac:dyDescent="0.3">
      <c r="I230"/>
    </row>
    <row r="231" spans="9:9" x14ac:dyDescent="0.3">
      <c r="I231"/>
    </row>
    <row r="232" spans="9:9" x14ac:dyDescent="0.3">
      <c r="I232"/>
    </row>
    <row r="233" spans="9:9" x14ac:dyDescent="0.3">
      <c r="I233"/>
    </row>
    <row r="234" spans="9:9" x14ac:dyDescent="0.3">
      <c r="I234"/>
    </row>
    <row r="235" spans="9:9" x14ac:dyDescent="0.3">
      <c r="I235"/>
    </row>
    <row r="236" spans="9:9" x14ac:dyDescent="0.3">
      <c r="I236"/>
    </row>
    <row r="237" spans="9:9" x14ac:dyDescent="0.3">
      <c r="I237"/>
    </row>
    <row r="238" spans="9:9" x14ac:dyDescent="0.3">
      <c r="I238"/>
    </row>
    <row r="239" spans="9:9" x14ac:dyDescent="0.3">
      <c r="I239"/>
    </row>
    <row r="240" spans="9:9" x14ac:dyDescent="0.3">
      <c r="I240"/>
    </row>
    <row r="241" spans="9:9" x14ac:dyDescent="0.3">
      <c r="I241"/>
    </row>
    <row r="242" spans="9:9" x14ac:dyDescent="0.3">
      <c r="I242"/>
    </row>
    <row r="243" spans="9:9" x14ac:dyDescent="0.3">
      <c r="I243"/>
    </row>
    <row r="244" spans="9:9" x14ac:dyDescent="0.3">
      <c r="I244"/>
    </row>
    <row r="245" spans="9:9" x14ac:dyDescent="0.3">
      <c r="I245"/>
    </row>
    <row r="246" spans="9:9" x14ac:dyDescent="0.3">
      <c r="I246"/>
    </row>
    <row r="247" spans="9:9" x14ac:dyDescent="0.3">
      <c r="I247"/>
    </row>
    <row r="248" spans="9:9" x14ac:dyDescent="0.3">
      <c r="I248"/>
    </row>
    <row r="249" spans="9:9" x14ac:dyDescent="0.3">
      <c r="I249"/>
    </row>
    <row r="250" spans="9:9" x14ac:dyDescent="0.3">
      <c r="I250"/>
    </row>
    <row r="251" spans="9:9" x14ac:dyDescent="0.3">
      <c r="I251"/>
    </row>
    <row r="252" spans="9:9" x14ac:dyDescent="0.3">
      <c r="I252"/>
    </row>
    <row r="253" spans="9:9" x14ac:dyDescent="0.3">
      <c r="I253"/>
    </row>
    <row r="254" spans="9:9" x14ac:dyDescent="0.3">
      <c r="I254"/>
    </row>
    <row r="255" spans="9:9" x14ac:dyDescent="0.3">
      <c r="I255"/>
    </row>
    <row r="256" spans="9:9" x14ac:dyDescent="0.3">
      <c r="I256"/>
    </row>
    <row r="257" spans="9:9" x14ac:dyDescent="0.3">
      <c r="I257"/>
    </row>
    <row r="258" spans="9:9" x14ac:dyDescent="0.3">
      <c r="I258"/>
    </row>
    <row r="259" spans="9:9" x14ac:dyDescent="0.3">
      <c r="I259"/>
    </row>
    <row r="260" spans="9:9" x14ac:dyDescent="0.3">
      <c r="I260"/>
    </row>
    <row r="261" spans="9:9" x14ac:dyDescent="0.3">
      <c r="I261"/>
    </row>
    <row r="262" spans="9:9" x14ac:dyDescent="0.3">
      <c r="I262"/>
    </row>
    <row r="263" spans="9:9" x14ac:dyDescent="0.3">
      <c r="I263"/>
    </row>
    <row r="264" spans="9:9" x14ac:dyDescent="0.3">
      <c r="I264"/>
    </row>
    <row r="265" spans="9:9" x14ac:dyDescent="0.3">
      <c r="I265"/>
    </row>
    <row r="266" spans="9:9" x14ac:dyDescent="0.3">
      <c r="I266"/>
    </row>
    <row r="267" spans="9:9" x14ac:dyDescent="0.3">
      <c r="I267"/>
    </row>
    <row r="268" spans="9:9" x14ac:dyDescent="0.3">
      <c r="I268"/>
    </row>
    <row r="269" spans="9:9" x14ac:dyDescent="0.3">
      <c r="I269"/>
    </row>
    <row r="270" spans="9:9" x14ac:dyDescent="0.3">
      <c r="I270"/>
    </row>
    <row r="271" spans="9:9" x14ac:dyDescent="0.3">
      <c r="I271"/>
    </row>
    <row r="272" spans="9:9" x14ac:dyDescent="0.3">
      <c r="I272"/>
    </row>
    <row r="273" spans="9:9" x14ac:dyDescent="0.3">
      <c r="I273"/>
    </row>
    <row r="274" spans="9:9" x14ac:dyDescent="0.3">
      <c r="I274"/>
    </row>
    <row r="275" spans="9:9" x14ac:dyDescent="0.3">
      <c r="I275"/>
    </row>
    <row r="276" spans="9:9" x14ac:dyDescent="0.3">
      <c r="I276"/>
    </row>
    <row r="277" spans="9:9" x14ac:dyDescent="0.3">
      <c r="I277"/>
    </row>
    <row r="278" spans="9:9" x14ac:dyDescent="0.3">
      <c r="I278"/>
    </row>
    <row r="279" spans="9:9" x14ac:dyDescent="0.3">
      <c r="I279"/>
    </row>
    <row r="280" spans="9:9" x14ac:dyDescent="0.3">
      <c r="I280"/>
    </row>
    <row r="281" spans="9:9" x14ac:dyDescent="0.3">
      <c r="I281"/>
    </row>
    <row r="282" spans="9:9" x14ac:dyDescent="0.3">
      <c r="I282"/>
    </row>
    <row r="283" spans="9:9" x14ac:dyDescent="0.3">
      <c r="I283"/>
    </row>
    <row r="284" spans="9:9" x14ac:dyDescent="0.3">
      <c r="I284"/>
    </row>
    <row r="285" spans="9:9" x14ac:dyDescent="0.3">
      <c r="I285"/>
    </row>
    <row r="286" spans="9:9" x14ac:dyDescent="0.3">
      <c r="I286"/>
    </row>
    <row r="287" spans="9:9" x14ac:dyDescent="0.3">
      <c r="I287"/>
    </row>
    <row r="288" spans="9:9" x14ac:dyDescent="0.3">
      <c r="I288"/>
    </row>
    <row r="289" spans="9:9" x14ac:dyDescent="0.3">
      <c r="I289"/>
    </row>
    <row r="290" spans="9:9" x14ac:dyDescent="0.3">
      <c r="I290"/>
    </row>
    <row r="291" spans="9:9" x14ac:dyDescent="0.3">
      <c r="I291"/>
    </row>
    <row r="292" spans="9:9" x14ac:dyDescent="0.3">
      <c r="I292"/>
    </row>
    <row r="293" spans="9:9" x14ac:dyDescent="0.3">
      <c r="I293"/>
    </row>
    <row r="294" spans="9:9" x14ac:dyDescent="0.3">
      <c r="I294"/>
    </row>
    <row r="295" spans="9:9" x14ac:dyDescent="0.3">
      <c r="I295"/>
    </row>
    <row r="296" spans="9:9" x14ac:dyDescent="0.3">
      <c r="I296"/>
    </row>
    <row r="297" spans="9:9" x14ac:dyDescent="0.3">
      <c r="I297"/>
    </row>
    <row r="298" spans="9:9" x14ac:dyDescent="0.3">
      <c r="I298"/>
    </row>
    <row r="299" spans="9:9" x14ac:dyDescent="0.3">
      <c r="I299"/>
    </row>
    <row r="300" spans="9:9" x14ac:dyDescent="0.3">
      <c r="I300"/>
    </row>
    <row r="301" spans="9:9" x14ac:dyDescent="0.3">
      <c r="I301"/>
    </row>
    <row r="302" spans="9:9" x14ac:dyDescent="0.3">
      <c r="I302"/>
    </row>
    <row r="303" spans="9:9" x14ac:dyDescent="0.3">
      <c r="I303"/>
    </row>
    <row r="304" spans="9:9" x14ac:dyDescent="0.3">
      <c r="I304"/>
    </row>
    <row r="305" spans="9:9" x14ac:dyDescent="0.3">
      <c r="I305"/>
    </row>
    <row r="306" spans="9:9" x14ac:dyDescent="0.3">
      <c r="I306"/>
    </row>
    <row r="307" spans="9:9" x14ac:dyDescent="0.3">
      <c r="I307"/>
    </row>
    <row r="308" spans="9:9" x14ac:dyDescent="0.3">
      <c r="I308"/>
    </row>
    <row r="309" spans="9:9" x14ac:dyDescent="0.3">
      <c r="I309"/>
    </row>
    <row r="310" spans="9:9" x14ac:dyDescent="0.3">
      <c r="I310"/>
    </row>
    <row r="311" spans="9:9" x14ac:dyDescent="0.3">
      <c r="I311"/>
    </row>
    <row r="312" spans="9:9" x14ac:dyDescent="0.3">
      <c r="I312"/>
    </row>
    <row r="313" spans="9:9" x14ac:dyDescent="0.3">
      <c r="I313"/>
    </row>
    <row r="314" spans="9:9" x14ac:dyDescent="0.3">
      <c r="I314"/>
    </row>
    <row r="315" spans="9:9" x14ac:dyDescent="0.3">
      <c r="I315"/>
    </row>
    <row r="316" spans="9:9" x14ac:dyDescent="0.3">
      <c r="I316"/>
    </row>
    <row r="317" spans="9:9" x14ac:dyDescent="0.3">
      <c r="I317"/>
    </row>
    <row r="318" spans="9:9" x14ac:dyDescent="0.3">
      <c r="I318"/>
    </row>
    <row r="319" spans="9:9" x14ac:dyDescent="0.3">
      <c r="I319"/>
    </row>
    <row r="320" spans="9:9" x14ac:dyDescent="0.3">
      <c r="I320"/>
    </row>
    <row r="321" spans="9:9" x14ac:dyDescent="0.3">
      <c r="I321"/>
    </row>
    <row r="322" spans="9:9" x14ac:dyDescent="0.3">
      <c r="I322"/>
    </row>
    <row r="323" spans="9:9" x14ac:dyDescent="0.3">
      <c r="I323"/>
    </row>
    <row r="324" spans="9:9" x14ac:dyDescent="0.3">
      <c r="I324"/>
    </row>
    <row r="325" spans="9:9" x14ac:dyDescent="0.3">
      <c r="I325"/>
    </row>
    <row r="326" spans="9:9" x14ac:dyDescent="0.3">
      <c r="I326"/>
    </row>
    <row r="327" spans="9:9" x14ac:dyDescent="0.3">
      <c r="I327"/>
    </row>
    <row r="328" spans="9:9" x14ac:dyDescent="0.3">
      <c r="I328"/>
    </row>
    <row r="329" spans="9:9" x14ac:dyDescent="0.3">
      <c r="I329"/>
    </row>
    <row r="330" spans="9:9" x14ac:dyDescent="0.3">
      <c r="I330"/>
    </row>
    <row r="331" spans="9:9" x14ac:dyDescent="0.3">
      <c r="I331"/>
    </row>
    <row r="332" spans="9:9" x14ac:dyDescent="0.3">
      <c r="I332"/>
    </row>
    <row r="333" spans="9:9" x14ac:dyDescent="0.3">
      <c r="I333"/>
    </row>
    <row r="334" spans="9:9" x14ac:dyDescent="0.3">
      <c r="I334"/>
    </row>
    <row r="335" spans="9:9" x14ac:dyDescent="0.3">
      <c r="I335"/>
    </row>
    <row r="336" spans="9:9" x14ac:dyDescent="0.3">
      <c r="I336"/>
    </row>
    <row r="337" spans="9:9" x14ac:dyDescent="0.3">
      <c r="I337"/>
    </row>
    <row r="338" spans="9:9" x14ac:dyDescent="0.3">
      <c r="I338"/>
    </row>
    <row r="339" spans="9:9" x14ac:dyDescent="0.3">
      <c r="I339"/>
    </row>
    <row r="340" spans="9:9" x14ac:dyDescent="0.3">
      <c r="I340"/>
    </row>
    <row r="341" spans="9:9" x14ac:dyDescent="0.3">
      <c r="I341"/>
    </row>
    <row r="342" spans="9:9" x14ac:dyDescent="0.3">
      <c r="I342"/>
    </row>
    <row r="343" spans="9:9" x14ac:dyDescent="0.3">
      <c r="I343"/>
    </row>
    <row r="344" spans="9:9" x14ac:dyDescent="0.3">
      <c r="I344"/>
    </row>
    <row r="345" spans="9:9" x14ac:dyDescent="0.3">
      <c r="I345"/>
    </row>
    <row r="346" spans="9:9" x14ac:dyDescent="0.3">
      <c r="I346"/>
    </row>
    <row r="347" spans="9:9" x14ac:dyDescent="0.3">
      <c r="I347"/>
    </row>
    <row r="348" spans="9:9" x14ac:dyDescent="0.3">
      <c r="I348"/>
    </row>
    <row r="349" spans="9:9" x14ac:dyDescent="0.3">
      <c r="I349"/>
    </row>
    <row r="350" spans="9:9" x14ac:dyDescent="0.3">
      <c r="I350"/>
    </row>
    <row r="351" spans="9:9" x14ac:dyDescent="0.3">
      <c r="I351"/>
    </row>
    <row r="352" spans="9:9" x14ac:dyDescent="0.3">
      <c r="I352"/>
    </row>
    <row r="353" spans="9:9" x14ac:dyDescent="0.3">
      <c r="I353"/>
    </row>
    <row r="354" spans="9:9" x14ac:dyDescent="0.3">
      <c r="I354"/>
    </row>
    <row r="355" spans="9:9" x14ac:dyDescent="0.3">
      <c r="I355"/>
    </row>
    <row r="356" spans="9:9" x14ac:dyDescent="0.3">
      <c r="I356"/>
    </row>
    <row r="357" spans="9:9" x14ac:dyDescent="0.3">
      <c r="I357"/>
    </row>
    <row r="358" spans="9:9" x14ac:dyDescent="0.3">
      <c r="I358"/>
    </row>
    <row r="359" spans="9:9" x14ac:dyDescent="0.3">
      <c r="I359"/>
    </row>
    <row r="360" spans="9:9" x14ac:dyDescent="0.3">
      <c r="I360"/>
    </row>
    <row r="361" spans="9:9" x14ac:dyDescent="0.3">
      <c r="I361"/>
    </row>
    <row r="362" spans="9:9" x14ac:dyDescent="0.3">
      <c r="I362"/>
    </row>
    <row r="363" spans="9:9" x14ac:dyDescent="0.3">
      <c r="I363"/>
    </row>
    <row r="364" spans="9:9" x14ac:dyDescent="0.3">
      <c r="I364"/>
    </row>
    <row r="365" spans="9:9" x14ac:dyDescent="0.3">
      <c r="I365"/>
    </row>
    <row r="366" spans="9:9" x14ac:dyDescent="0.3">
      <c r="I366"/>
    </row>
    <row r="367" spans="9:9" x14ac:dyDescent="0.3">
      <c r="I367"/>
    </row>
    <row r="368" spans="9:9" x14ac:dyDescent="0.3">
      <c r="I368"/>
    </row>
    <row r="369" spans="9:9" x14ac:dyDescent="0.3">
      <c r="I369"/>
    </row>
    <row r="370" spans="9:9" x14ac:dyDescent="0.3">
      <c r="I370"/>
    </row>
    <row r="371" spans="9:9" x14ac:dyDescent="0.3">
      <c r="I371"/>
    </row>
    <row r="372" spans="9:9" x14ac:dyDescent="0.3">
      <c r="I372"/>
    </row>
    <row r="373" spans="9:9" x14ac:dyDescent="0.3">
      <c r="I373"/>
    </row>
    <row r="374" spans="9:9" x14ac:dyDescent="0.3">
      <c r="I374"/>
    </row>
    <row r="375" spans="9:9" x14ac:dyDescent="0.3">
      <c r="I375"/>
    </row>
    <row r="376" spans="9:9" x14ac:dyDescent="0.3">
      <c r="I376"/>
    </row>
    <row r="377" spans="9:9" x14ac:dyDescent="0.3">
      <c r="I377"/>
    </row>
    <row r="378" spans="9:9" x14ac:dyDescent="0.3">
      <c r="I378"/>
    </row>
    <row r="379" spans="9:9" x14ac:dyDescent="0.3">
      <c r="I379"/>
    </row>
    <row r="380" spans="9:9" x14ac:dyDescent="0.3">
      <c r="I380"/>
    </row>
    <row r="381" spans="9:9" x14ac:dyDescent="0.3">
      <c r="I381"/>
    </row>
    <row r="382" spans="9:9" x14ac:dyDescent="0.3">
      <c r="I382"/>
    </row>
    <row r="383" spans="9:9" x14ac:dyDescent="0.3">
      <c r="I383"/>
    </row>
    <row r="384" spans="9:9" x14ac:dyDescent="0.3">
      <c r="I384"/>
    </row>
    <row r="385" spans="9:9" x14ac:dyDescent="0.3">
      <c r="I385"/>
    </row>
    <row r="386" spans="9:9" x14ac:dyDescent="0.3">
      <c r="I386"/>
    </row>
    <row r="387" spans="9:9" x14ac:dyDescent="0.3">
      <c r="I387"/>
    </row>
    <row r="388" spans="9:9" x14ac:dyDescent="0.3">
      <c r="I388"/>
    </row>
    <row r="389" spans="9:9" x14ac:dyDescent="0.3">
      <c r="I389"/>
    </row>
    <row r="390" spans="9:9" x14ac:dyDescent="0.3">
      <c r="I390"/>
    </row>
    <row r="391" spans="9:9" x14ac:dyDescent="0.3">
      <c r="I391"/>
    </row>
    <row r="392" spans="9:9" x14ac:dyDescent="0.3">
      <c r="I392"/>
    </row>
    <row r="393" spans="9:9" x14ac:dyDescent="0.3">
      <c r="I393"/>
    </row>
    <row r="394" spans="9:9" x14ac:dyDescent="0.3">
      <c r="I394"/>
    </row>
    <row r="395" spans="9:9" x14ac:dyDescent="0.3">
      <c r="I395"/>
    </row>
    <row r="396" spans="9:9" x14ac:dyDescent="0.3">
      <c r="I396"/>
    </row>
    <row r="397" spans="9:9" x14ac:dyDescent="0.3">
      <c r="I397"/>
    </row>
    <row r="398" spans="9:9" x14ac:dyDescent="0.3">
      <c r="I398"/>
    </row>
    <row r="399" spans="9:9" x14ac:dyDescent="0.3">
      <c r="I399"/>
    </row>
    <row r="400" spans="9:9" x14ac:dyDescent="0.3">
      <c r="I400"/>
    </row>
    <row r="401" spans="9:9" x14ac:dyDescent="0.3">
      <c r="I401"/>
    </row>
    <row r="402" spans="9:9" x14ac:dyDescent="0.3">
      <c r="I402"/>
    </row>
    <row r="403" spans="9:9" x14ac:dyDescent="0.3">
      <c r="I403"/>
    </row>
    <row r="404" spans="9:9" x14ac:dyDescent="0.3">
      <c r="I404"/>
    </row>
    <row r="405" spans="9:9" x14ac:dyDescent="0.3">
      <c r="I405"/>
    </row>
    <row r="406" spans="9:9" x14ac:dyDescent="0.3">
      <c r="I406"/>
    </row>
    <row r="407" spans="9:9" x14ac:dyDescent="0.3">
      <c r="I407"/>
    </row>
    <row r="408" spans="9:9" x14ac:dyDescent="0.3">
      <c r="I408"/>
    </row>
    <row r="409" spans="9:9" x14ac:dyDescent="0.3">
      <c r="I409"/>
    </row>
    <row r="410" spans="9:9" x14ac:dyDescent="0.3">
      <c r="I410"/>
    </row>
    <row r="411" spans="9:9" x14ac:dyDescent="0.3">
      <c r="I411"/>
    </row>
    <row r="412" spans="9:9" x14ac:dyDescent="0.3">
      <c r="I412"/>
    </row>
    <row r="413" spans="9:9" x14ac:dyDescent="0.3">
      <c r="I413"/>
    </row>
    <row r="414" spans="9:9" x14ac:dyDescent="0.3">
      <c r="I414"/>
    </row>
    <row r="415" spans="9:9" x14ac:dyDescent="0.3">
      <c r="I415"/>
    </row>
    <row r="416" spans="9:9" x14ac:dyDescent="0.3">
      <c r="I416"/>
    </row>
    <row r="417" spans="9:9" x14ac:dyDescent="0.3">
      <c r="I417"/>
    </row>
    <row r="418" spans="9:9" x14ac:dyDescent="0.3">
      <c r="I418"/>
    </row>
    <row r="419" spans="9:9" x14ac:dyDescent="0.3">
      <c r="I419"/>
    </row>
    <row r="420" spans="9:9" x14ac:dyDescent="0.3">
      <c r="I420"/>
    </row>
    <row r="421" spans="9:9" x14ac:dyDescent="0.3">
      <c r="I421"/>
    </row>
    <row r="422" spans="9:9" x14ac:dyDescent="0.3">
      <c r="I422"/>
    </row>
    <row r="423" spans="9:9" x14ac:dyDescent="0.3">
      <c r="I423"/>
    </row>
    <row r="424" spans="9:9" x14ac:dyDescent="0.3">
      <c r="I424"/>
    </row>
    <row r="425" spans="9:9" x14ac:dyDescent="0.3">
      <c r="I425"/>
    </row>
    <row r="426" spans="9:9" x14ac:dyDescent="0.3">
      <c r="I426"/>
    </row>
    <row r="427" spans="9:9" x14ac:dyDescent="0.3">
      <c r="I427"/>
    </row>
    <row r="428" spans="9:9" x14ac:dyDescent="0.3">
      <c r="I428"/>
    </row>
    <row r="429" spans="9:9" x14ac:dyDescent="0.3">
      <c r="I429"/>
    </row>
    <row r="430" spans="9:9" x14ac:dyDescent="0.3">
      <c r="I430"/>
    </row>
    <row r="431" spans="9:9" x14ac:dyDescent="0.3">
      <c r="I431"/>
    </row>
    <row r="432" spans="9:9" x14ac:dyDescent="0.3">
      <c r="I432"/>
    </row>
    <row r="433" spans="9:9" x14ac:dyDescent="0.3">
      <c r="I433"/>
    </row>
    <row r="434" spans="9:9" x14ac:dyDescent="0.3">
      <c r="I434"/>
    </row>
    <row r="435" spans="9:9" x14ac:dyDescent="0.3">
      <c r="I435"/>
    </row>
    <row r="436" spans="9:9" x14ac:dyDescent="0.3">
      <c r="I436"/>
    </row>
    <row r="437" spans="9:9" x14ac:dyDescent="0.3">
      <c r="I437"/>
    </row>
    <row r="438" spans="9:9" x14ac:dyDescent="0.3">
      <c r="I438"/>
    </row>
    <row r="439" spans="9:9" x14ac:dyDescent="0.3">
      <c r="I439"/>
    </row>
    <row r="440" spans="9:9" x14ac:dyDescent="0.3">
      <c r="I440"/>
    </row>
    <row r="441" spans="9:9" x14ac:dyDescent="0.3">
      <c r="I441"/>
    </row>
    <row r="442" spans="9:9" x14ac:dyDescent="0.3">
      <c r="I442"/>
    </row>
    <row r="443" spans="9:9" x14ac:dyDescent="0.3">
      <c r="I443"/>
    </row>
    <row r="444" spans="9:9" x14ac:dyDescent="0.3">
      <c r="I444"/>
    </row>
    <row r="445" spans="9:9" x14ac:dyDescent="0.3">
      <c r="I445"/>
    </row>
    <row r="446" spans="9:9" x14ac:dyDescent="0.3">
      <c r="I446"/>
    </row>
    <row r="447" spans="9:9" x14ac:dyDescent="0.3">
      <c r="I447"/>
    </row>
    <row r="448" spans="9:9" x14ac:dyDescent="0.3">
      <c r="I448"/>
    </row>
    <row r="449" spans="9:9" x14ac:dyDescent="0.3">
      <c r="I449"/>
    </row>
    <row r="450" spans="9:9" x14ac:dyDescent="0.3">
      <c r="I450"/>
    </row>
    <row r="451" spans="9:9" x14ac:dyDescent="0.3">
      <c r="I451"/>
    </row>
    <row r="452" spans="9:9" x14ac:dyDescent="0.3">
      <c r="I452"/>
    </row>
    <row r="453" spans="9:9" x14ac:dyDescent="0.3">
      <c r="I453"/>
    </row>
    <row r="454" spans="9:9" x14ac:dyDescent="0.3">
      <c r="I454"/>
    </row>
    <row r="455" spans="9:9" x14ac:dyDescent="0.3">
      <c r="I455"/>
    </row>
    <row r="456" spans="9:9" x14ac:dyDescent="0.3">
      <c r="I456"/>
    </row>
    <row r="457" spans="9:9" x14ac:dyDescent="0.3">
      <c r="I457"/>
    </row>
    <row r="458" spans="9:9" x14ac:dyDescent="0.3">
      <c r="I458"/>
    </row>
    <row r="459" spans="9:9" x14ac:dyDescent="0.3">
      <c r="I459"/>
    </row>
    <row r="460" spans="9:9" x14ac:dyDescent="0.3">
      <c r="I460"/>
    </row>
    <row r="461" spans="9:9" x14ac:dyDescent="0.3">
      <c r="I461"/>
    </row>
    <row r="462" spans="9:9" x14ac:dyDescent="0.3">
      <c r="I462"/>
    </row>
    <row r="463" spans="9:9" x14ac:dyDescent="0.3">
      <c r="I463"/>
    </row>
    <row r="464" spans="9:9" x14ac:dyDescent="0.3">
      <c r="I464"/>
    </row>
    <row r="465" spans="9:9" x14ac:dyDescent="0.3">
      <c r="I465"/>
    </row>
    <row r="466" spans="9:9" x14ac:dyDescent="0.3">
      <c r="I466"/>
    </row>
    <row r="467" spans="9:9" x14ac:dyDescent="0.3">
      <c r="I467"/>
    </row>
    <row r="468" spans="9:9" x14ac:dyDescent="0.3">
      <c r="I468"/>
    </row>
    <row r="469" spans="9:9" x14ac:dyDescent="0.3">
      <c r="I469"/>
    </row>
    <row r="470" spans="9:9" x14ac:dyDescent="0.3">
      <c r="I470"/>
    </row>
    <row r="471" spans="9:9" x14ac:dyDescent="0.3">
      <c r="I471"/>
    </row>
    <row r="472" spans="9:9" x14ac:dyDescent="0.3">
      <c r="I472"/>
    </row>
    <row r="473" spans="9:9" x14ac:dyDescent="0.3">
      <c r="I473"/>
    </row>
    <row r="474" spans="9:9" x14ac:dyDescent="0.3">
      <c r="I474"/>
    </row>
    <row r="475" spans="9:9" x14ac:dyDescent="0.3">
      <c r="I475"/>
    </row>
    <row r="476" spans="9:9" x14ac:dyDescent="0.3">
      <c r="I476"/>
    </row>
    <row r="477" spans="9:9" x14ac:dyDescent="0.3">
      <c r="I477"/>
    </row>
    <row r="478" spans="9:9" x14ac:dyDescent="0.3">
      <c r="I478"/>
    </row>
    <row r="479" spans="9:9" x14ac:dyDescent="0.3">
      <c r="I479"/>
    </row>
    <row r="480" spans="9:9" x14ac:dyDescent="0.3">
      <c r="I480"/>
    </row>
    <row r="481" spans="9:9" x14ac:dyDescent="0.3">
      <c r="I481"/>
    </row>
    <row r="482" spans="9:9" x14ac:dyDescent="0.3">
      <c r="I482"/>
    </row>
    <row r="483" spans="9:9" x14ac:dyDescent="0.3">
      <c r="I483"/>
    </row>
    <row r="484" spans="9:9" x14ac:dyDescent="0.3">
      <c r="I484"/>
    </row>
    <row r="485" spans="9:9" x14ac:dyDescent="0.3">
      <c r="I485"/>
    </row>
    <row r="486" spans="9:9" x14ac:dyDescent="0.3">
      <c r="I486"/>
    </row>
    <row r="487" spans="9:9" x14ac:dyDescent="0.3">
      <c r="I487"/>
    </row>
    <row r="488" spans="9:9" x14ac:dyDescent="0.3">
      <c r="I488"/>
    </row>
    <row r="489" spans="9:9" x14ac:dyDescent="0.3">
      <c r="I489"/>
    </row>
    <row r="490" spans="9:9" x14ac:dyDescent="0.3">
      <c r="I490"/>
    </row>
    <row r="491" spans="9:9" x14ac:dyDescent="0.3">
      <c r="I491"/>
    </row>
    <row r="492" spans="9:9" x14ac:dyDescent="0.3">
      <c r="I492"/>
    </row>
    <row r="493" spans="9:9" x14ac:dyDescent="0.3">
      <c r="I493"/>
    </row>
    <row r="494" spans="9:9" x14ac:dyDescent="0.3">
      <c r="I494"/>
    </row>
    <row r="495" spans="9:9" x14ac:dyDescent="0.3">
      <c r="I495"/>
    </row>
    <row r="496" spans="9:9" x14ac:dyDescent="0.3">
      <c r="I496"/>
    </row>
    <row r="497" spans="9:9" x14ac:dyDescent="0.3">
      <c r="I497"/>
    </row>
    <row r="498" spans="9:9" x14ac:dyDescent="0.3">
      <c r="I498"/>
    </row>
    <row r="499" spans="9:9" x14ac:dyDescent="0.3">
      <c r="I499"/>
    </row>
    <row r="500" spans="9:9" x14ac:dyDescent="0.3">
      <c r="I500"/>
    </row>
    <row r="501" spans="9:9" x14ac:dyDescent="0.3">
      <c r="I501"/>
    </row>
    <row r="502" spans="9:9" x14ac:dyDescent="0.3">
      <c r="I502"/>
    </row>
    <row r="503" spans="9:9" x14ac:dyDescent="0.3">
      <c r="I503"/>
    </row>
    <row r="504" spans="9:9" x14ac:dyDescent="0.3">
      <c r="I504"/>
    </row>
    <row r="505" spans="9:9" x14ac:dyDescent="0.3">
      <c r="I505"/>
    </row>
    <row r="506" spans="9:9" x14ac:dyDescent="0.3">
      <c r="I506"/>
    </row>
    <row r="507" spans="9:9" x14ac:dyDescent="0.3">
      <c r="I507"/>
    </row>
    <row r="508" spans="9:9" x14ac:dyDescent="0.3">
      <c r="I508"/>
    </row>
    <row r="509" spans="9:9" x14ac:dyDescent="0.3">
      <c r="I509"/>
    </row>
    <row r="510" spans="9:9" x14ac:dyDescent="0.3">
      <c r="I510"/>
    </row>
    <row r="511" spans="9:9" x14ac:dyDescent="0.3">
      <c r="I511"/>
    </row>
    <row r="512" spans="9:9" x14ac:dyDescent="0.3">
      <c r="I512"/>
    </row>
    <row r="513" spans="9:9" x14ac:dyDescent="0.3">
      <c r="I513"/>
    </row>
    <row r="514" spans="9:9" x14ac:dyDescent="0.3">
      <c r="I514"/>
    </row>
    <row r="515" spans="9:9" x14ac:dyDescent="0.3">
      <c r="I515"/>
    </row>
    <row r="516" spans="9:9" x14ac:dyDescent="0.3">
      <c r="I516"/>
    </row>
    <row r="517" spans="9:9" x14ac:dyDescent="0.3">
      <c r="I517"/>
    </row>
    <row r="518" spans="9:9" x14ac:dyDescent="0.3">
      <c r="I518"/>
    </row>
    <row r="519" spans="9:9" x14ac:dyDescent="0.3">
      <c r="I519"/>
    </row>
    <row r="520" spans="9:9" x14ac:dyDescent="0.3">
      <c r="I520"/>
    </row>
    <row r="521" spans="9:9" x14ac:dyDescent="0.3">
      <c r="I521"/>
    </row>
    <row r="522" spans="9:9" x14ac:dyDescent="0.3">
      <c r="I522"/>
    </row>
    <row r="523" spans="9:9" x14ac:dyDescent="0.3">
      <c r="I523"/>
    </row>
    <row r="524" spans="9:9" x14ac:dyDescent="0.3">
      <c r="I524"/>
    </row>
    <row r="525" spans="9:9" x14ac:dyDescent="0.3">
      <c r="I525"/>
    </row>
    <row r="526" spans="9:9" x14ac:dyDescent="0.3">
      <c r="I526"/>
    </row>
    <row r="527" spans="9:9" x14ac:dyDescent="0.3">
      <c r="I527"/>
    </row>
    <row r="528" spans="9:9" x14ac:dyDescent="0.3">
      <c r="I528"/>
    </row>
    <row r="529" spans="9:9" x14ac:dyDescent="0.3">
      <c r="I529"/>
    </row>
    <row r="530" spans="9:9" x14ac:dyDescent="0.3">
      <c r="I530"/>
    </row>
    <row r="531" spans="9:9" x14ac:dyDescent="0.3">
      <c r="I531"/>
    </row>
    <row r="532" spans="9:9" x14ac:dyDescent="0.3">
      <c r="I532"/>
    </row>
    <row r="533" spans="9:9" x14ac:dyDescent="0.3">
      <c r="I533"/>
    </row>
    <row r="534" spans="9:9" x14ac:dyDescent="0.3">
      <c r="I534"/>
    </row>
    <row r="535" spans="9:9" x14ac:dyDescent="0.3">
      <c r="I535"/>
    </row>
    <row r="536" spans="9:9" x14ac:dyDescent="0.3">
      <c r="I536"/>
    </row>
    <row r="537" spans="9:9" x14ac:dyDescent="0.3">
      <c r="I537"/>
    </row>
    <row r="538" spans="9:9" x14ac:dyDescent="0.3">
      <c r="I538"/>
    </row>
    <row r="539" spans="9:9" x14ac:dyDescent="0.3">
      <c r="I539"/>
    </row>
    <row r="540" spans="9:9" x14ac:dyDescent="0.3">
      <c r="I540"/>
    </row>
    <row r="541" spans="9:9" x14ac:dyDescent="0.3">
      <c r="I541"/>
    </row>
    <row r="542" spans="9:9" x14ac:dyDescent="0.3">
      <c r="I542"/>
    </row>
    <row r="543" spans="9:9" x14ac:dyDescent="0.3">
      <c r="I543"/>
    </row>
    <row r="544" spans="9:9" x14ac:dyDescent="0.3">
      <c r="I544"/>
    </row>
    <row r="545" spans="9:9" x14ac:dyDescent="0.3">
      <c r="I545"/>
    </row>
    <row r="546" spans="9:9" x14ac:dyDescent="0.3">
      <c r="I546"/>
    </row>
    <row r="547" spans="9:9" x14ac:dyDescent="0.3">
      <c r="I547"/>
    </row>
    <row r="548" spans="9:9" x14ac:dyDescent="0.3">
      <c r="I548"/>
    </row>
    <row r="549" spans="9:9" x14ac:dyDescent="0.3">
      <c r="I549"/>
    </row>
    <row r="550" spans="9:9" x14ac:dyDescent="0.3">
      <c r="I550"/>
    </row>
    <row r="551" spans="9:9" x14ac:dyDescent="0.3">
      <c r="I551"/>
    </row>
    <row r="552" spans="9:9" x14ac:dyDescent="0.3">
      <c r="I552"/>
    </row>
    <row r="553" spans="9:9" x14ac:dyDescent="0.3">
      <c r="I553"/>
    </row>
    <row r="554" spans="9:9" x14ac:dyDescent="0.3">
      <c r="I554"/>
    </row>
    <row r="555" spans="9:9" x14ac:dyDescent="0.3">
      <c r="I555"/>
    </row>
    <row r="556" spans="9:9" x14ac:dyDescent="0.3">
      <c r="I556"/>
    </row>
    <row r="557" spans="9:9" x14ac:dyDescent="0.3">
      <c r="I557"/>
    </row>
    <row r="558" spans="9:9" x14ac:dyDescent="0.3">
      <c r="I558"/>
    </row>
    <row r="559" spans="9:9" x14ac:dyDescent="0.3">
      <c r="I559"/>
    </row>
    <row r="560" spans="9:9" x14ac:dyDescent="0.3">
      <c r="I560"/>
    </row>
    <row r="561" spans="9:9" x14ac:dyDescent="0.3">
      <c r="I561"/>
    </row>
    <row r="562" spans="9:9" x14ac:dyDescent="0.3">
      <c r="I562"/>
    </row>
    <row r="563" spans="9:9" x14ac:dyDescent="0.3">
      <c r="I563"/>
    </row>
    <row r="564" spans="9:9" x14ac:dyDescent="0.3">
      <c r="I564"/>
    </row>
    <row r="565" spans="9:9" x14ac:dyDescent="0.3">
      <c r="I565"/>
    </row>
  </sheetData>
  <mergeCells count="1">
    <mergeCell ref="A5:H5"/>
  </mergeCells>
  <phoneticPr fontId="4" type="noConversion"/>
  <pageMargins left="0.7" right="0.7" top="0.75" bottom="0.75" header="0.3" footer="0.3"/>
  <pageSetup paperSize="9" orientation="portrait" horizontalDpi="4294967295" verticalDpi="4294967295" r:id="rId1"/>
  <ignoredErrors>
    <ignoredError sqref="I3 I6 G55" formulaRange="1"/>
  </ignoredErrors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Ульяна Б.</cp:lastModifiedBy>
  <dcterms:created xsi:type="dcterms:W3CDTF">2015-06-05T18:17:20Z</dcterms:created>
  <dcterms:modified xsi:type="dcterms:W3CDTF">2026-04-13T11:21:04Z</dcterms:modified>
</cp:coreProperties>
</file>