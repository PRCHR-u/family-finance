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7935D5A4-42F2-4014-963B-E1437626322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Суммы для трат" sheetId="8" r:id="rId2"/>
    <sheet name="сезоны" sheetId="7" r:id="rId3"/>
    <sheet name="годы" sheetId="6" r:id="rId4"/>
    <sheet name="льготные периоды" sheetId="5" r:id="rId5"/>
    <sheet name="траты" sheetId="2" r:id="rId6"/>
    <sheet name="доход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H18" i="1" s="1"/>
  <c r="I18" i="1" s="1"/>
  <c r="I13" i="1" s="1"/>
  <c r="H12" i="4"/>
  <c r="H17" i="1"/>
  <c r="G17" i="1"/>
  <c r="D5" i="5"/>
  <c r="A5" i="8"/>
  <c r="D15" i="2"/>
  <c r="F15" i="1"/>
  <c r="G15" i="1" s="1"/>
  <c r="H13" i="1" s="1"/>
  <c r="F14" i="1"/>
  <c r="G14" i="1" s="1"/>
  <c r="F13" i="1"/>
  <c r="G13" i="1" s="1"/>
  <c r="F12" i="1"/>
  <c r="G12" i="1" s="1"/>
  <c r="E10" i="1"/>
  <c r="F10" i="1" s="1"/>
  <c r="E9" i="1"/>
  <c r="F9" i="1" s="1"/>
  <c r="E8" i="1"/>
  <c r="F8" i="1" s="1"/>
  <c r="F7" i="1"/>
  <c r="G8" i="1" s="1"/>
  <c r="E7" i="1"/>
  <c r="E6" i="1"/>
  <c r="F6" i="1" s="1"/>
  <c r="E5" i="1"/>
  <c r="F5" i="1" s="1"/>
  <c r="G6" i="1" s="1"/>
  <c r="F3" i="1"/>
  <c r="G3" i="1" s="1"/>
  <c r="H1" i="1"/>
  <c r="C12" i="4"/>
  <c r="D2" i="5"/>
  <c r="D3" i="5"/>
  <c r="D4" i="5"/>
  <c r="D12" i="2"/>
  <c r="D7" i="2"/>
  <c r="D4" i="2"/>
  <c r="D6" i="5" l="1"/>
</calcChain>
</file>

<file path=xl/sharedStrings.xml><?xml version="1.0" encoding="utf-8"?>
<sst xmlns="http://schemas.openxmlformats.org/spreadsheetml/2006/main" count="89" uniqueCount="52">
  <si>
    <t>СБЕР</t>
  </si>
  <si>
    <t>ВСЕГО</t>
  </si>
  <si>
    <t>разница</t>
  </si>
  <si>
    <t>min</t>
  </si>
  <si>
    <t>TOTAL</t>
  </si>
  <si>
    <t>Т-БАНК</t>
  </si>
  <si>
    <t xml:space="preserve"> </t>
  </si>
  <si>
    <t>изменение долга за месяц (ЯНВАРЬ)</t>
  </si>
  <si>
    <t xml:space="preserve">ДОЛГ ЗА ЗИМУ </t>
  </si>
  <si>
    <t>изменение долга за месяц (ФЕВРАЛЬ)</t>
  </si>
  <si>
    <t>ДОЛГ ЗА 2024 ГОД</t>
  </si>
  <si>
    <t>изменение долга за месяц (АПРЕЛЬ)</t>
  </si>
  <si>
    <t>ОЛЯ т-банк</t>
  </si>
  <si>
    <t>Оля СБЕР</t>
  </si>
  <si>
    <t>ДОЛГ ЗА 2025 ГОД</t>
  </si>
  <si>
    <t>копилка</t>
  </si>
  <si>
    <t>ДОЛГ ЗА ВЕСНУ</t>
  </si>
  <si>
    <t>Доход</t>
  </si>
  <si>
    <t>сколько</t>
  </si>
  <si>
    <t>когда</t>
  </si>
  <si>
    <t>стипендия</t>
  </si>
  <si>
    <t>зп</t>
  </si>
  <si>
    <t>олин отец</t>
  </si>
  <si>
    <t xml:space="preserve">ВСЕГО </t>
  </si>
  <si>
    <t>аванс</t>
  </si>
  <si>
    <t>склад</t>
  </si>
  <si>
    <t>ОБЯЗАТЕЛЬНЫЕ ТРАТЫ</t>
  </si>
  <si>
    <t>СКОЛЬКО</t>
  </si>
  <si>
    <t>ДАТА</t>
  </si>
  <si>
    <t>АРЕНДА</t>
  </si>
  <si>
    <t>мама др</t>
  </si>
  <si>
    <t>коммуналка</t>
  </si>
  <si>
    <t>Оля др</t>
  </si>
  <si>
    <t>Май</t>
  </si>
  <si>
    <t>Июнь</t>
  </si>
  <si>
    <t>TOEFL</t>
  </si>
  <si>
    <t>неизвестно</t>
  </si>
  <si>
    <t>Июль</t>
  </si>
  <si>
    <t>лиза долг</t>
  </si>
  <si>
    <t>до 13.05</t>
  </si>
  <si>
    <t>Т-банк</t>
  </si>
  <si>
    <t>МАЙ</t>
  </si>
  <si>
    <t>Оля врачи</t>
  </si>
  <si>
    <t>01.05-10.05</t>
  </si>
  <si>
    <t>11.05-17.05</t>
  </si>
  <si>
    <t>18.05-24.05</t>
  </si>
  <si>
    <t>25.05-31.05</t>
  </si>
  <si>
    <t>копилка Оли</t>
  </si>
  <si>
    <t>изменение долга за месяц (МАЙ)</t>
  </si>
  <si>
    <t>05.05-10.05</t>
  </si>
  <si>
    <t xml:space="preserve">занятие </t>
  </si>
  <si>
    <t>06.05-10.05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</si>
</sst>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₽&quot;;[Red]\-#,##0\ &quot;₽&quot;"/>
    <numFmt numFmtId="44" formatCode="_-* #,##0.00\ &quot;₽&quot;_-;\-* #,##0.00\ &quot;₽&quot;_-;_-* &quot;-&quot;??\ &quot;₽&quot;_-;_-@_-"/>
    <numFmt numFmtId="164" formatCode="#,##0.00\ &quot;₽&quot;"/>
    <numFmt numFmtId="165" formatCode="_-* #,##0.00\ [$₽-419]_-;\-* #,##0.00\ [$₽-419]_-;_-* &quot;-&quot;??\ [$₽-419]_-;_-@_-"/>
  </numFmts>
  <fonts count="9" x14ac:knownFonts="1">
    <font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sz val="11"/>
      <color rgb="FF00B050"/>
      <name val="Trebuchet MS"/>
      <family val="2"/>
      <scheme val="minor"/>
    </font>
    <font>
      <sz val="8"/>
      <name val="Trebuchet MS"/>
      <family val="2"/>
      <scheme val="minor"/>
    </font>
    <font>
      <u/>
      <sz val="11"/>
      <color theme="10"/>
      <name val="Trebuchet MS"/>
      <family val="2"/>
      <scheme val="minor"/>
    </font>
    <font>
      <b/>
      <sz val="11"/>
      <color rgb="FF3F3F3F"/>
      <name val="Trebuchet MS"/>
      <family val="2"/>
      <charset val="204"/>
      <scheme val="minor"/>
    </font>
    <font>
      <b/>
      <sz val="11"/>
      <color theme="0"/>
      <name val="Trebuchet MS"/>
      <family val="2"/>
      <charset val="204"/>
      <scheme val="minor"/>
    </font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charset val="204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5" fillId="12" borderId="2" applyNumberFormat="0" applyAlignment="0" applyProtection="0"/>
    <xf numFmtId="0" fontId="6" fillId="13" borderId="3" applyNumberFormat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70">
    <xf numFmtId="0" fontId="0" fillId="0" borderId="0" xfId="0"/>
    <xf numFmtId="0" fontId="0" fillId="2" borderId="0" xfId="0" applyFill="1"/>
    <xf numFmtId="14" fontId="0" fillId="0" borderId="0" xfId="0" applyNumberFormat="1"/>
    <xf numFmtId="16" fontId="0" fillId="2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" fontId="0" fillId="0" borderId="0" xfId="0" applyNumberFormat="1"/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8" borderId="0" xfId="0" applyFill="1"/>
    <xf numFmtId="16" fontId="4" fillId="0" borderId="0" xfId="1" applyNumberFormat="1"/>
    <xf numFmtId="0" fontId="4" fillId="0" borderId="0" xfId="1"/>
    <xf numFmtId="6" fontId="0" fillId="0" borderId="0" xfId="0" applyNumberForma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6" fillId="13" borderId="3" xfId="3"/>
    <xf numFmtId="0" fontId="5" fillId="12" borderId="2" xfId="2"/>
    <xf numFmtId="164" fontId="2" fillId="0" borderId="0" xfId="0" applyNumberFormat="1" applyFont="1" applyAlignment="1">
      <alignment horizontal="left"/>
    </xf>
    <xf numFmtId="164" fontId="0" fillId="3" borderId="0" xfId="0" applyNumberFormat="1" applyFill="1"/>
    <xf numFmtId="164" fontId="0" fillId="4" borderId="0" xfId="0" applyNumberFormat="1" applyFill="1"/>
    <xf numFmtId="164" fontId="0" fillId="7" borderId="0" xfId="0" applyNumberFormat="1" applyFill="1"/>
    <xf numFmtId="2" fontId="0" fillId="4" borderId="0" xfId="0" applyNumberFormat="1" applyFill="1"/>
    <xf numFmtId="2" fontId="0" fillId="7" borderId="0" xfId="0" applyNumberFormat="1" applyFill="1"/>
    <xf numFmtId="2" fontId="0" fillId="3" borderId="0" xfId="0" applyNumberFormat="1" applyFill="1"/>
    <xf numFmtId="2" fontId="0" fillId="14" borderId="0" xfId="0" applyNumberFormat="1" applyFill="1"/>
    <xf numFmtId="2" fontId="0" fillId="0" borderId="0" xfId="4" applyNumberFormat="1" applyFont="1"/>
    <xf numFmtId="44" fontId="0" fillId="0" borderId="0" xfId="4" applyFont="1"/>
    <xf numFmtId="0" fontId="1" fillId="0" borderId="0" xfId="0" applyFont="1"/>
    <xf numFmtId="2" fontId="2" fillId="0" borderId="0" xfId="0" applyNumberFormat="1" applyFont="1" applyAlignment="1">
      <alignment horizontal="left"/>
    </xf>
    <xf numFmtId="2" fontId="0" fillId="3" borderId="0" xfId="0" applyNumberFormat="1" applyFill="1" applyAlignment="1">
      <alignment horizontal="center"/>
    </xf>
    <xf numFmtId="164" fontId="1" fillId="0" borderId="0" xfId="0" applyNumberFormat="1" applyFont="1" applyAlignment="1">
      <alignment horizontal="center"/>
    </xf>
    <xf numFmtId="2" fontId="0" fillId="7" borderId="0" xfId="0" applyNumberFormat="1" applyFill="1" applyAlignment="1">
      <alignment horizontal="center"/>
    </xf>
    <xf numFmtId="2" fontId="1" fillId="0" borderId="0" xfId="0" applyNumberFormat="1" applyFont="1" applyAlignment="1">
      <alignment horizontal="left"/>
    </xf>
    <xf numFmtId="2" fontId="0" fillId="6" borderId="1" xfId="4" applyNumberFormat="1" applyFont="1" applyFill="1" applyBorder="1"/>
    <xf numFmtId="44" fontId="0" fillId="0" borderId="0" xfId="4" applyFont="1" applyFill="1"/>
    <xf numFmtId="165" fontId="0" fillId="0" borderId="0" xfId="4" applyNumberFormat="1" applyFont="1" applyFill="1"/>
    <xf numFmtId="2" fontId="0" fillId="0" borderId="0" xfId="0" applyNumberFormat="1"/>
    <xf numFmtId="2" fontId="1" fillId="0" borderId="0" xfId="0" applyNumberFormat="1" applyFont="1"/>
    <xf numFmtId="165" fontId="0" fillId="0" borderId="0" xfId="0" applyNumberFormat="1"/>
    <xf numFmtId="16" fontId="1" fillId="0" borderId="0" xfId="0" applyNumberFormat="1" applyFont="1"/>
    <xf numFmtId="2" fontId="0" fillId="7" borderId="0" xfId="5" applyNumberFormat="1" applyFont="1" applyFill="1" applyAlignment="1">
      <alignment horizontal="center"/>
    </xf>
    <xf numFmtId="2" fontId="0" fillId="7" borderId="0" xfId="4" applyNumberFormat="1" applyFont="1" applyFill="1" applyAlignment="1">
      <alignment horizontal="center"/>
    </xf>
    <xf numFmtId="2" fontId="0" fillId="3" borderId="0" xfId="4" applyNumberFormat="1" applyFont="1" applyFill="1" applyAlignment="1">
      <alignment horizontal="center"/>
    </xf>
    <xf numFmtId="2" fontId="0" fillId="5" borderId="0" xfId="0" applyNumberFormat="1" applyFill="1"/>
    <xf numFmtId="0" fontId="0" fillId="15" borderId="0" xfId="0" applyFill="1"/>
    <xf numFmtId="2" fontId="2" fillId="15" borderId="0" xfId="0" applyNumberFormat="1" applyFont="1" applyFill="1" applyAlignment="1">
      <alignment horizontal="left"/>
    </xf>
    <xf numFmtId="0" fontId="0" fillId="16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4" borderId="0" xfId="0" applyFill="1" applyAlignment="1">
      <alignment horizontal="center"/>
    </xf>
    <xf numFmtId="44" fontId="1" fillId="0" borderId="0" xfId="4" applyFont="1"/>
    <xf numFmtId="2" fontId="0" fillId="0" borderId="0" xfId="0" applyNumberFormat="1" applyAlignment="1">
      <alignment horizontal="center"/>
    </xf>
    <xf numFmtId="0" fontId="6" fillId="0" borderId="3" xfId="3" applyFill="1"/>
    <xf numFmtId="0" fontId="0" fillId="17" borderId="0" xfId="0" applyFill="1"/>
    <xf numFmtId="0" fontId="0" fillId="0" borderId="1" xfId="0" applyBorder="1"/>
    <xf numFmtId="164" fontId="0" fillId="0" borderId="0" xfId="0" applyNumberFormat="1"/>
    <xf numFmtId="0" fontId="8" fillId="0" borderId="0" xfId="0" applyFont="1"/>
    <xf numFmtId="0" fontId="0" fillId="16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" fontId="0" fillId="18" borderId="0" xfId="0" applyNumberFormat="1" applyFill="1"/>
    <xf numFmtId="0" fontId="0" fillId="19" borderId="0" xfId="0" applyFill="1"/>
    <xf numFmtId="0" fontId="0" fillId="17" borderId="0" xfId="0" applyFill="1" applyAlignment="1">
      <alignment horizontal="center"/>
    </xf>
    <xf numFmtId="0" fontId="0" fillId="18" borderId="0" xfId="0" applyFill="1"/>
  </cellXfs>
  <cellStyles count="6">
    <cellStyle name="Вывод" xfId="2" builtinId="21"/>
    <cellStyle name="Гиперссылка" xfId="1" builtinId="8"/>
    <cellStyle name="Денежный" xfId="4" builtinId="4"/>
    <cellStyle name="Контрольная ячейка" xfId="3" builtinId="23"/>
    <cellStyle name="Обычный" xfId="0" builtinId="0"/>
    <cellStyle name="Процентный" xfId="5" builtinId="5"/>
  </cellStyles>
  <dxfs count="6"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5" tint="0.39997558519241921"/>
        </patternFill>
      </fill>
    </dxf>
    <dxf>
      <numFmt numFmtId="0" formatCode="General"/>
    </dxf>
    <dxf>
      <numFmt numFmtId="21" formatCode="dd/mmm"/>
    </dxf>
    <dxf>
      <numFmt numFmtId="21" formatCode="dd/mmm"/>
    </dxf>
    <dxf>
      <numFmt numFmtId="21" formatCode="dd/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38854E-AC63-4FFE-8141-EE3370DA6D87}" name="Таблица26" displayName="Таблица26" ref="A1:D6" totalsRowCount="1">
  <autoFilter ref="A1:D5" xr:uid="{2238854E-AC63-4FFE-8141-EE3370DA6D87}"/>
  <tableColumns count="4">
    <tableColumn id="1" xr3:uid="{D4DB3DB6-BC10-4B6D-9CE1-9FAA49126423}" name="min" totalsRowLabel="МАЙ" totalsRowDxfId="5"/>
    <tableColumn id="2" xr3:uid="{E177E00A-82A3-4B30-8C98-796B530888B2}" name="Т-банк" dataDxfId="4" totalsRowDxfId="3"/>
    <tableColumn id="4" xr3:uid="{E3A4DFAB-AAA0-4818-A3C9-30FD63351198}" name="СБЕР"/>
    <tableColumn id="7" xr3:uid="{C92C36D7-7E0C-4807-8339-861F21BFAF66}" name="TOTAL" totalsRowFunction="custom" dataDxfId="2" totalsRowDxfId="1">
      <calculatedColumnFormula>SUM(Таблица26[[#This Row],[Т-банк]:[СБЕР]])</calculatedColumnFormula>
      <totalsRowFormula>D2+D3</totalsRow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5E2298-E012-4E3D-A6DC-6424CE546CE6}" name="Таблица35" displayName="Таблица35" ref="A1:D15" totalsRowShown="0">
  <autoFilter ref="A1:D15" xr:uid="{B35E2298-E012-4E3D-A6DC-6424CE546CE6}"/>
  <tableColumns count="4">
    <tableColumn id="1" xr3:uid="{6291CC29-56AE-4E1B-8EA8-F4052A01E0E3}" name="ОБЯЗАТЕЛЬНЫЕ ТРАТЫ"/>
    <tableColumn id="2" xr3:uid="{259C8956-DF9A-469F-9E37-3B553F2F30D5}" name="СКОЛЬКО"/>
    <tableColumn id="3" xr3:uid="{FDA3B0B2-B987-4248-8940-AA22E1B3B320}" name="ДАТА" dataDxfId="0"/>
    <tableColumn id="4" xr3:uid="{63BA4422-008C-4C9C-BB2F-8703204A700F}" name="ВСЕГО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66D7A1-EB71-47B5-A5A1-5993729E11F9}" name="Таблица14" displayName="Таблица14" ref="A1:C12" totalsRowShown="0">
  <autoFilter ref="A1:C12" xr:uid="{3A66D7A1-EB71-47B5-A5A1-5993729E11F9}"/>
  <tableColumns count="3">
    <tableColumn id="1" xr3:uid="{31035DB1-6BBF-4936-B27C-67D9B4C05E7B}" name="Доход"/>
    <tableColumn id="2" xr3:uid="{983087E0-3BC5-4970-8DC4-A8EB7158E9FA}" name="сколько"/>
    <tableColumn id="3" xr3:uid="{67B1AE86-4799-4B27-90C2-F414DE2AB580}" name="когд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02B9FB-A408-44A2-8366-9716243A5939}" name="Таблица142" displayName="Таблица142" ref="F1:H12" totalsRowShown="0">
  <autoFilter ref="F1:H12" xr:uid="{0602B9FB-A408-44A2-8366-9716243A5939}"/>
  <tableColumns count="3">
    <tableColumn id="1" xr3:uid="{CCFEF0C3-BB02-481E-9EC8-488C5841F5D4}" name="Доход"/>
    <tableColumn id="2" xr3:uid="{81EA2C1D-2DA8-4EF5-A847-C62158DFD221}" name="сколько"/>
    <tableColumn id="3" xr3:uid="{A49E4DBD-48A0-434F-A6F3-123D5CF65083}" name="когд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Берлин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Берлин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Берлин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65"/>
  <sheetViews>
    <sheetView topLeftCell="A3" zoomScale="90" zoomScaleNormal="48" workbookViewId="0">
      <selection activeCell="H18" sqref="H18"/>
    </sheetView>
  </sheetViews>
  <sheetFormatPr defaultRowHeight="14.4" x14ac:dyDescent="0.3"/>
  <cols>
    <col min="1" max="1" width="11.5546875" customWidth="1"/>
    <col min="2" max="2" width="11.33203125" customWidth="1"/>
    <col min="3" max="3" width="11.6640625" customWidth="1"/>
    <col min="4" max="5" width="11.5546875" customWidth="1"/>
    <col min="6" max="6" width="14.88671875" customWidth="1"/>
    <col min="7" max="7" width="38.5546875" customWidth="1"/>
    <col min="8" max="8" width="37.33203125" customWidth="1"/>
    <col min="9" max="9" width="33" style="4" customWidth="1"/>
    <col min="10" max="10" width="35.21875" customWidth="1"/>
    <col min="11" max="11" width="34.109375" customWidth="1"/>
    <col min="12" max="15" width="17.33203125" customWidth="1"/>
    <col min="16" max="16" width="19" customWidth="1"/>
    <col min="17" max="17" width="11.21875" customWidth="1"/>
    <col min="18" max="18" width="11.88671875" customWidth="1"/>
    <col min="19" max="19" width="11.21875" customWidth="1"/>
    <col min="20" max="20" width="15.109375" customWidth="1"/>
    <col min="21" max="21" width="11.21875" customWidth="1"/>
    <col min="22" max="22" width="26.6640625" customWidth="1"/>
    <col min="23" max="25" width="11.21875" customWidth="1"/>
  </cols>
  <sheetData>
    <row r="1" spans="1:21" ht="15" thickBot="1" x14ac:dyDescent="0.35">
      <c r="A1" s="8">
        <v>46002</v>
      </c>
      <c r="B1" s="5">
        <v>427969.98</v>
      </c>
      <c r="C1" s="6">
        <v>4900.8</v>
      </c>
      <c r="D1" s="5">
        <v>84998.9</v>
      </c>
      <c r="E1" s="6">
        <v>51177.47</v>
      </c>
      <c r="F1" s="6">
        <v>170.44</v>
      </c>
      <c r="G1" s="6">
        <v>15416.58</v>
      </c>
      <c r="H1" s="24">
        <f t="shared" ref="H1" si="0">SUM(B1:G1)</f>
        <v>584634.16999999981</v>
      </c>
      <c r="I1"/>
    </row>
    <row r="2" spans="1:21" ht="15.6" thickTop="1" thickBot="1" x14ac:dyDescent="0.35">
      <c r="B2" s="1" t="s">
        <v>0</v>
      </c>
      <c r="C2" s="1" t="s">
        <v>12</v>
      </c>
      <c r="D2" s="1" t="s">
        <v>13</v>
      </c>
      <c r="E2" s="1" t="s">
        <v>5</v>
      </c>
      <c r="F2" s="18" t="s">
        <v>1</v>
      </c>
      <c r="G2" t="s">
        <v>2</v>
      </c>
      <c r="I2"/>
    </row>
    <row r="3" spans="1:21" ht="15.6" thickTop="1" thickBot="1" x14ac:dyDescent="0.35">
      <c r="A3" s="8">
        <v>46014</v>
      </c>
      <c r="B3" s="6">
        <v>415705.44</v>
      </c>
      <c r="C3" s="5">
        <v>15714.24</v>
      </c>
      <c r="D3" s="6">
        <v>76421.64</v>
      </c>
      <c r="E3" s="5">
        <v>99745.919999999998</v>
      </c>
      <c r="F3" s="24">
        <f>SUM(B3:E3)</f>
        <v>607587.24</v>
      </c>
      <c r="G3" s="32">
        <f>F3-H1</f>
        <v>22953.070000000182</v>
      </c>
      <c r="I3"/>
    </row>
    <row r="4" spans="1:21" ht="15.6" thickTop="1" thickBot="1" x14ac:dyDescent="0.35">
      <c r="A4" s="8"/>
      <c r="B4" s="1" t="s">
        <v>0</v>
      </c>
      <c r="C4" s="1" t="s">
        <v>5</v>
      </c>
      <c r="D4" s="1" t="s">
        <v>13</v>
      </c>
      <c r="E4" s="18" t="s">
        <v>1</v>
      </c>
      <c r="F4" s="17"/>
      <c r="G4" s="17"/>
      <c r="I4"/>
    </row>
    <row r="5" spans="1:21" ht="15" thickTop="1" x14ac:dyDescent="0.3">
      <c r="A5" s="8">
        <v>46042</v>
      </c>
      <c r="B5" s="5">
        <v>430716.51</v>
      </c>
      <c r="C5" s="5">
        <v>101723.21</v>
      </c>
      <c r="D5" s="6">
        <v>72979.070000000007</v>
      </c>
      <c r="E5" s="24">
        <f t="shared" ref="E5:E10" si="1">SUM(B5:D5)</f>
        <v>605418.79</v>
      </c>
      <c r="F5" s="34">
        <f>E5-F3</f>
        <v>-2168.4499999999534</v>
      </c>
      <c r="G5" t="s">
        <v>7</v>
      </c>
      <c r="I5"/>
      <c r="K5" s="9"/>
    </row>
    <row r="6" spans="1:21" x14ac:dyDescent="0.3">
      <c r="A6" s="8">
        <v>46046</v>
      </c>
      <c r="B6" s="5">
        <v>437829.01</v>
      </c>
      <c r="C6" s="5">
        <v>130000</v>
      </c>
      <c r="D6" s="6">
        <v>44769.94</v>
      </c>
      <c r="E6" s="24">
        <f t="shared" si="1"/>
        <v>612598.94999999995</v>
      </c>
      <c r="F6" s="32">
        <f>E6-E5</f>
        <v>7180.1599999999162</v>
      </c>
      <c r="G6" s="35">
        <f>F5+F6</f>
        <v>5011.7099999999627</v>
      </c>
      <c r="I6"/>
      <c r="M6" s="30"/>
    </row>
    <row r="7" spans="1:21" x14ac:dyDescent="0.3">
      <c r="A7" s="8">
        <v>46054</v>
      </c>
      <c r="B7" s="5">
        <v>466858.95</v>
      </c>
      <c r="C7" s="6">
        <v>50000</v>
      </c>
      <c r="D7" s="5">
        <v>56025.62</v>
      </c>
      <c r="E7" s="24">
        <f t="shared" si="1"/>
        <v>572884.57000000007</v>
      </c>
      <c r="F7" s="34">
        <f>E7-E6</f>
        <v>-39714.379999999888</v>
      </c>
      <c r="G7" s="47" t="s">
        <v>9</v>
      </c>
      <c r="I7"/>
      <c r="L7" s="8"/>
    </row>
    <row r="8" spans="1:21" x14ac:dyDescent="0.3">
      <c r="A8" s="8">
        <v>46058</v>
      </c>
      <c r="B8" s="6">
        <v>381641.46</v>
      </c>
      <c r="C8" s="5">
        <v>56114.79</v>
      </c>
      <c r="D8" s="5">
        <v>58716.62</v>
      </c>
      <c r="E8" s="24">
        <f t="shared" si="1"/>
        <v>496472.87</v>
      </c>
      <c r="F8" s="34">
        <f>E8-E7</f>
        <v>-76411.70000000007</v>
      </c>
      <c r="G8" s="31">
        <f>F7+F8+F9+F10</f>
        <v>-133867.27999999997</v>
      </c>
      <c r="I8"/>
      <c r="L8" s="8"/>
      <c r="M8" s="30"/>
    </row>
    <row r="9" spans="1:21" x14ac:dyDescent="0.3">
      <c r="A9" s="8">
        <v>46066</v>
      </c>
      <c r="B9" s="6">
        <v>370407.24</v>
      </c>
      <c r="C9" s="5">
        <v>130000</v>
      </c>
      <c r="D9" s="5">
        <v>77031.08</v>
      </c>
      <c r="E9" s="24">
        <f t="shared" si="1"/>
        <v>577438.31999999995</v>
      </c>
      <c r="F9" s="32">
        <f>E9-E8</f>
        <v>80965.449999999953</v>
      </c>
      <c r="I9"/>
      <c r="L9" s="8"/>
      <c r="M9" s="30"/>
    </row>
    <row r="10" spans="1:21" ht="15" thickBot="1" x14ac:dyDescent="0.35">
      <c r="A10" s="8">
        <v>46073</v>
      </c>
      <c r="B10" s="6">
        <v>282871.38</v>
      </c>
      <c r="C10">
        <v>130000</v>
      </c>
      <c r="D10" s="6">
        <v>65860.289999999994</v>
      </c>
      <c r="E10" s="24">
        <f t="shared" si="1"/>
        <v>478731.67</v>
      </c>
      <c r="F10" s="34">
        <f>E10-E9</f>
        <v>-98706.649999999965</v>
      </c>
      <c r="I10"/>
      <c r="L10" s="8"/>
      <c r="N10" s="46"/>
    </row>
    <row r="11" spans="1:21" ht="15.6" thickTop="1" thickBot="1" x14ac:dyDescent="0.35">
      <c r="A11" s="8"/>
      <c r="B11" s="1" t="s">
        <v>0</v>
      </c>
      <c r="C11" s="1" t="s">
        <v>5</v>
      </c>
      <c r="D11" s="1" t="s">
        <v>13</v>
      </c>
      <c r="E11" s="15" t="s">
        <v>15</v>
      </c>
      <c r="F11" s="18" t="s">
        <v>1</v>
      </c>
      <c r="I11"/>
      <c r="L11" s="30"/>
      <c r="M11" s="30"/>
      <c r="N11" s="30"/>
      <c r="O11" s="30"/>
      <c r="P11" s="30"/>
    </row>
    <row r="12" spans="1:21" ht="15" thickTop="1" x14ac:dyDescent="0.3">
      <c r="A12" s="8">
        <v>46125</v>
      </c>
      <c r="B12" s="5">
        <v>530432.55000000005</v>
      </c>
      <c r="C12" s="5">
        <v>130160</v>
      </c>
      <c r="D12" s="6">
        <v>4096.6000000000004</v>
      </c>
      <c r="E12" s="49">
        <v>-165257.35999999999</v>
      </c>
      <c r="F12" s="24">
        <f>SUM(B12:E12)</f>
        <v>499431.79000000004</v>
      </c>
      <c r="G12" s="32">
        <f>F12-E10</f>
        <v>20700.120000000054</v>
      </c>
      <c r="H12" t="s">
        <v>11</v>
      </c>
      <c r="I12" s="16" t="s">
        <v>16</v>
      </c>
      <c r="Q12" s="8"/>
    </row>
    <row r="13" spans="1:21" x14ac:dyDescent="0.3">
      <c r="A13" s="8">
        <v>46126</v>
      </c>
      <c r="B13" s="5">
        <v>531503.72</v>
      </c>
      <c r="C13">
        <v>130160</v>
      </c>
      <c r="D13" s="5">
        <v>59097.599999999999</v>
      </c>
      <c r="E13" s="49">
        <v>-165257.35999999999</v>
      </c>
      <c r="F13" s="24">
        <f>SUM(B13:E13)</f>
        <v>555503.96</v>
      </c>
      <c r="G13" s="32">
        <f>F13-F12</f>
        <v>56072.169999999925</v>
      </c>
      <c r="H13" s="35">
        <f>G12+G13+G14+G15</f>
        <v>42712.77999999997</v>
      </c>
      <c r="I13" s="35">
        <f>H13+I18</f>
        <v>26408.680000000051</v>
      </c>
      <c r="Q13" s="8"/>
    </row>
    <row r="14" spans="1:21" x14ac:dyDescent="0.3">
      <c r="A14" s="8">
        <v>46139</v>
      </c>
      <c r="B14" s="5">
        <v>579247.15</v>
      </c>
      <c r="C14" s="6">
        <v>129933.7</v>
      </c>
      <c r="D14" s="5">
        <v>74113.850000000006</v>
      </c>
      <c r="E14" s="59">
        <v>-267457.65000000002</v>
      </c>
      <c r="F14" s="24">
        <f>SUM(B14:E14)</f>
        <v>515837.04999999993</v>
      </c>
      <c r="G14" s="34">
        <f>F14-F13</f>
        <v>-39666.910000000033</v>
      </c>
      <c r="I14"/>
      <c r="O14" s="8"/>
      <c r="Q14" s="8"/>
    </row>
    <row r="15" spans="1:21" ht="15" thickBot="1" x14ac:dyDescent="0.35">
      <c r="A15" s="8">
        <v>46141</v>
      </c>
      <c r="B15" s="6">
        <v>428118.13</v>
      </c>
      <c r="C15" s="5">
        <v>130000</v>
      </c>
      <c r="D15" s="5">
        <v>76020.850000000006</v>
      </c>
      <c r="E15" s="49">
        <v>-112694.53</v>
      </c>
      <c r="F15" s="24">
        <f>SUM(B15:E15)</f>
        <v>521444.44999999995</v>
      </c>
      <c r="G15" s="32">
        <f>F15-F14</f>
        <v>5607.4000000000233</v>
      </c>
      <c r="I15"/>
      <c r="O15" s="8"/>
      <c r="U15" s="8"/>
    </row>
    <row r="16" spans="1:21" ht="15.6" thickTop="1" thickBot="1" x14ac:dyDescent="0.35">
      <c r="A16" s="8"/>
      <c r="B16" s="1" t="s">
        <v>0</v>
      </c>
      <c r="C16" s="1" t="s">
        <v>5</v>
      </c>
      <c r="D16" s="1" t="s">
        <v>13</v>
      </c>
      <c r="E16" s="15" t="s">
        <v>15</v>
      </c>
      <c r="F16" s="15" t="s">
        <v>47</v>
      </c>
      <c r="G16" s="18" t="s">
        <v>1</v>
      </c>
      <c r="I16"/>
      <c r="O16" s="8"/>
      <c r="Q16" s="8"/>
      <c r="R16" s="8"/>
      <c r="T16" s="8"/>
    </row>
    <row r="17" spans="1:30" ht="15" thickTop="1" x14ac:dyDescent="0.3">
      <c r="A17" s="8">
        <v>46147</v>
      </c>
      <c r="B17" s="5">
        <v>495554.5</v>
      </c>
      <c r="C17" s="6">
        <v>129750.93</v>
      </c>
      <c r="D17">
        <v>76020.850000000006</v>
      </c>
      <c r="E17" s="59">
        <v>-192330.64</v>
      </c>
      <c r="F17" s="63">
        <v>-11689</v>
      </c>
      <c r="G17" s="64">
        <f>SUM(B17:F17)</f>
        <v>497306.6399999999</v>
      </c>
      <c r="H17" s="34">
        <f>G17-F15</f>
        <v>-24137.810000000056</v>
      </c>
      <c r="I17" t="s">
        <v>48</v>
      </c>
      <c r="O17" s="8"/>
      <c r="Q17" s="28"/>
      <c r="R17" s="28"/>
      <c r="T17" s="28"/>
      <c r="U17" s="29"/>
    </row>
    <row r="18" spans="1:30" x14ac:dyDescent="0.3">
      <c r="A18" s="8">
        <v>46148</v>
      </c>
      <c r="B18" s="5">
        <v>496334.5</v>
      </c>
      <c r="C18" s="5">
        <v>129864.53</v>
      </c>
      <c r="D18" s="5">
        <v>83419</v>
      </c>
      <c r="E18" s="67">
        <v>-192409.68</v>
      </c>
      <c r="F18" s="68">
        <v>-12068</v>
      </c>
      <c r="G18" s="64">
        <f>SUM(B18:F18)</f>
        <v>505140.35000000003</v>
      </c>
      <c r="H18" s="32">
        <f>G18-G17</f>
        <v>7833.7100000001374</v>
      </c>
      <c r="I18" s="31">
        <f>H17+H18</f>
        <v>-16304.099999999919</v>
      </c>
      <c r="O18" s="8"/>
      <c r="P18" s="28"/>
      <c r="Q18" s="40"/>
      <c r="R18" s="40"/>
      <c r="S18" s="8"/>
      <c r="T18" s="30"/>
      <c r="X18" s="8"/>
    </row>
    <row r="19" spans="1:30" x14ac:dyDescent="0.3">
      <c r="A19" s="8"/>
      <c r="I19"/>
      <c r="O19" s="8"/>
      <c r="S19" s="28"/>
      <c r="V19" s="8"/>
      <c r="W19" s="8"/>
    </row>
    <row r="20" spans="1:30" x14ac:dyDescent="0.3">
      <c r="A20" s="2"/>
      <c r="I20"/>
      <c r="O20" s="8"/>
      <c r="S20" s="40"/>
      <c r="X20" s="8"/>
    </row>
    <row r="21" spans="1:30" x14ac:dyDescent="0.3">
      <c r="A21" s="2"/>
      <c r="I21"/>
      <c r="L21" s="8"/>
      <c r="M21" s="7"/>
      <c r="N21" s="7"/>
      <c r="O21" s="7"/>
      <c r="P21" s="8"/>
      <c r="V21" s="30"/>
      <c r="W21" s="28"/>
      <c r="Y21" s="28"/>
    </row>
    <row r="22" spans="1:30" x14ac:dyDescent="0.3">
      <c r="A22" s="2"/>
      <c r="I22"/>
      <c r="U22" s="8"/>
      <c r="W22" s="28"/>
      <c r="Y22" s="28"/>
      <c r="AD22" s="28"/>
    </row>
    <row r="23" spans="1:30" x14ac:dyDescent="0.3">
      <c r="A23" s="2"/>
      <c r="I23"/>
      <c r="M23" s="8"/>
      <c r="N23" s="8"/>
      <c r="O23" s="8"/>
      <c r="Q23" s="8"/>
      <c r="R23" s="8"/>
      <c r="T23" s="8"/>
      <c r="W23" s="28"/>
      <c r="Y23" s="28"/>
      <c r="Z23" s="30"/>
      <c r="AB23" s="30"/>
    </row>
    <row r="24" spans="1:30" x14ac:dyDescent="0.3">
      <c r="A24" s="8"/>
      <c r="I24"/>
      <c r="M24" s="50"/>
      <c r="O24" s="52"/>
      <c r="U24" s="8"/>
      <c r="Y24" s="8"/>
    </row>
    <row r="25" spans="1:30" x14ac:dyDescent="0.3">
      <c r="A25" s="8"/>
      <c r="I25"/>
      <c r="N25" s="51"/>
      <c r="O25" s="53"/>
      <c r="Q25" s="8"/>
      <c r="R25" s="8"/>
      <c r="S25" s="8"/>
      <c r="T25" s="8"/>
      <c r="X25" s="8"/>
      <c r="Z25" s="8"/>
    </row>
    <row r="26" spans="1:30" x14ac:dyDescent="0.3">
      <c r="A26" s="8"/>
      <c r="I26"/>
      <c r="N26" s="51"/>
      <c r="O26" s="53"/>
      <c r="P26" s="29"/>
      <c r="V26" s="8"/>
      <c r="W26" s="8"/>
    </row>
    <row r="27" spans="1:30" x14ac:dyDescent="0.3">
      <c r="A27" s="8"/>
      <c r="I27"/>
      <c r="N27" s="52"/>
      <c r="O27" s="52"/>
      <c r="S27" s="8"/>
      <c r="X27" s="8"/>
    </row>
    <row r="28" spans="1:30" x14ac:dyDescent="0.3">
      <c r="A28" s="8"/>
      <c r="I28"/>
      <c r="L28" s="8"/>
      <c r="N28" s="52"/>
      <c r="O28" s="53"/>
      <c r="V28" s="8"/>
      <c r="W28" s="12"/>
      <c r="X28" s="14"/>
    </row>
    <row r="29" spans="1:30" x14ac:dyDescent="0.3">
      <c r="A29" s="8"/>
      <c r="I29"/>
      <c r="J29" s="8"/>
      <c r="W29" s="13"/>
      <c r="X29" s="14"/>
      <c r="Y29" s="8"/>
      <c r="AB29" t="s">
        <v>6</v>
      </c>
    </row>
    <row r="30" spans="1:30" x14ac:dyDescent="0.3">
      <c r="A30" s="8"/>
      <c r="I30"/>
      <c r="J30" s="8"/>
      <c r="W30" s="13"/>
      <c r="X30" s="14"/>
      <c r="Y30" s="8"/>
    </row>
    <row r="31" spans="1:30" x14ac:dyDescent="0.3">
      <c r="A31" s="8"/>
      <c r="I31"/>
      <c r="J31" s="8"/>
      <c r="N31" s="60"/>
      <c r="P31" s="60"/>
      <c r="W31" s="13"/>
      <c r="X31" s="14"/>
    </row>
    <row r="32" spans="1:30" x14ac:dyDescent="0.3">
      <c r="A32" s="8"/>
      <c r="E32" s="60"/>
      <c r="G32" s="60"/>
      <c r="I32"/>
      <c r="J32" s="8"/>
      <c r="L32" s="60"/>
      <c r="P32" s="60"/>
      <c r="Y32" s="8"/>
    </row>
    <row r="33" spans="1:26" x14ac:dyDescent="0.3">
      <c r="A33" s="8"/>
      <c r="C33" s="60"/>
      <c r="G33" s="60"/>
      <c r="I33"/>
      <c r="J33" s="8"/>
      <c r="P33" s="60"/>
      <c r="Z33" s="8"/>
    </row>
    <row r="34" spans="1:26" x14ac:dyDescent="0.3">
      <c r="A34" s="8"/>
      <c r="G34" s="60"/>
      <c r="I34"/>
      <c r="J34" s="8"/>
    </row>
    <row r="35" spans="1:26" x14ac:dyDescent="0.3">
      <c r="A35" s="8"/>
      <c r="I35"/>
      <c r="J35" s="8"/>
    </row>
    <row r="36" spans="1:26" x14ac:dyDescent="0.3">
      <c r="A36" s="8"/>
      <c r="I36"/>
      <c r="J36" s="8"/>
      <c r="L36" s="60"/>
      <c r="R36" s="61"/>
      <c r="S36" s="61"/>
    </row>
    <row r="37" spans="1:26" x14ac:dyDescent="0.3">
      <c r="A37" s="8"/>
      <c r="C37" s="60"/>
      <c r="I37" s="61"/>
      <c r="J37" s="8"/>
      <c r="L37" s="60"/>
      <c r="R37" s="61"/>
      <c r="S37" s="61"/>
    </row>
    <row r="38" spans="1:26" x14ac:dyDescent="0.3">
      <c r="A38" s="8"/>
      <c r="C38" s="60"/>
      <c r="I38" s="61"/>
      <c r="J38" s="8"/>
      <c r="R38" s="61"/>
      <c r="S38" s="61"/>
      <c r="U38" s="8"/>
    </row>
    <row r="39" spans="1:26" x14ac:dyDescent="0.3">
      <c r="A39" s="8"/>
      <c r="I39" s="61"/>
      <c r="J39" s="8"/>
      <c r="L39" s="60"/>
      <c r="R39" s="61"/>
      <c r="S39" s="61"/>
      <c r="T39" s="8"/>
      <c r="U39" s="37"/>
    </row>
    <row r="40" spans="1:26" x14ac:dyDescent="0.3">
      <c r="A40" s="8"/>
      <c r="C40" s="60"/>
      <c r="I40" s="61"/>
      <c r="J40" s="8"/>
      <c r="L40" s="60"/>
      <c r="R40" s="61"/>
      <c r="S40" s="61"/>
      <c r="T40" s="37"/>
      <c r="U40" s="8"/>
    </row>
    <row r="41" spans="1:26" x14ac:dyDescent="0.3">
      <c r="A41" s="8"/>
      <c r="C41" s="60"/>
      <c r="I41" s="61"/>
      <c r="J41" s="8"/>
      <c r="R41" s="61"/>
      <c r="S41" s="61"/>
      <c r="T41" s="8"/>
    </row>
    <row r="42" spans="1:26" x14ac:dyDescent="0.3">
      <c r="A42" s="8"/>
      <c r="I42" s="61"/>
      <c r="J42" s="8"/>
      <c r="R42" s="61"/>
      <c r="S42" s="61"/>
      <c r="U42" s="40"/>
      <c r="V42" s="8"/>
    </row>
    <row r="43" spans="1:26" x14ac:dyDescent="0.3">
      <c r="A43" s="8"/>
      <c r="I43" s="61"/>
      <c r="J43" s="8"/>
      <c r="R43" s="61"/>
      <c r="S43" s="61"/>
      <c r="V43" s="38"/>
      <c r="W43" s="39"/>
    </row>
    <row r="44" spans="1:26" x14ac:dyDescent="0.3">
      <c r="A44" s="8"/>
      <c r="I44" s="61"/>
      <c r="J44" s="61"/>
      <c r="L44" s="38"/>
      <c r="M44" s="8"/>
      <c r="N44" s="8"/>
      <c r="O44" s="8"/>
      <c r="P44" s="8"/>
      <c r="U44" s="8"/>
      <c r="V44" s="8"/>
      <c r="W44" s="8"/>
    </row>
    <row r="45" spans="1:26" x14ac:dyDescent="0.3">
      <c r="A45" s="8"/>
      <c r="B45" s="6"/>
      <c r="C45" s="11"/>
      <c r="E45" s="11"/>
      <c r="F45" s="5"/>
      <c r="G45" s="5"/>
      <c r="I45" s="22"/>
      <c r="J45" s="23"/>
      <c r="L45" s="8"/>
      <c r="M45" s="37"/>
      <c r="N45" s="37"/>
      <c r="O45" s="37"/>
      <c r="P45" s="38"/>
      <c r="Q45" s="8"/>
      <c r="R45" s="8"/>
      <c r="T45" s="8"/>
      <c r="W45" s="38"/>
    </row>
    <row r="46" spans="1:26" ht="15" thickBot="1" x14ac:dyDescent="0.35">
      <c r="A46" s="8"/>
      <c r="B46" s="5"/>
      <c r="C46" s="15"/>
      <c r="D46" s="5"/>
      <c r="E46" s="11"/>
      <c r="F46" s="5"/>
      <c r="G46" s="5"/>
      <c r="I46" s="22"/>
      <c r="J46" s="21"/>
      <c r="M46" s="8"/>
      <c r="N46" s="8"/>
      <c r="O46" s="8"/>
      <c r="P46" s="8"/>
      <c r="W46" s="41"/>
    </row>
    <row r="47" spans="1:26" ht="15.6" thickTop="1" thickBot="1" x14ac:dyDescent="0.35">
      <c r="A47" s="3"/>
      <c r="B47" s="1"/>
      <c r="C47" s="1"/>
      <c r="D47" s="1"/>
      <c r="E47" s="1"/>
      <c r="F47" s="1"/>
      <c r="G47" s="1"/>
      <c r="H47" s="18"/>
      <c r="I47" s="19"/>
      <c r="J47" s="17"/>
      <c r="K47" s="20"/>
      <c r="L47" s="8"/>
      <c r="Q47" s="8"/>
      <c r="R47" s="30"/>
      <c r="S47" s="8"/>
      <c r="T47" s="30"/>
    </row>
    <row r="48" spans="1:26" ht="15" thickTop="1" x14ac:dyDescent="0.3">
      <c r="A48" s="8"/>
      <c r="B48" s="6"/>
      <c r="C48" s="6"/>
      <c r="D48" s="6"/>
      <c r="E48" s="11"/>
      <c r="G48" s="6"/>
      <c r="H48" s="4"/>
      <c r="I48" s="23"/>
      <c r="J48" s="17"/>
      <c r="K48" s="10"/>
      <c r="M48" s="8"/>
      <c r="N48" s="8"/>
      <c r="O48" s="8"/>
      <c r="P48" s="8"/>
      <c r="Q48" s="38"/>
      <c r="V48" s="8"/>
      <c r="W48" s="8"/>
    </row>
    <row r="49" spans="1:23" x14ac:dyDescent="0.3">
      <c r="A49" s="8"/>
      <c r="D49" s="5"/>
      <c r="E49" s="11"/>
      <c r="G49" s="5"/>
      <c r="H49" s="4"/>
      <c r="I49" s="21"/>
      <c r="J49" s="17"/>
      <c r="K49" s="16"/>
      <c r="M49" s="38"/>
      <c r="N49" s="38"/>
      <c r="O49" s="38"/>
      <c r="S49" s="30"/>
    </row>
    <row r="50" spans="1:23" x14ac:dyDescent="0.3">
      <c r="A50" s="8"/>
      <c r="D50" s="5"/>
      <c r="E50" s="11"/>
      <c r="H50" s="4"/>
      <c r="I50" s="21"/>
      <c r="J50" s="17"/>
      <c r="K50" s="9"/>
      <c r="M50" s="8"/>
      <c r="N50" s="8"/>
      <c r="O50" s="8"/>
    </row>
    <row r="51" spans="1:23" x14ac:dyDescent="0.3">
      <c r="A51" s="8"/>
      <c r="B51" s="5"/>
      <c r="D51" s="5"/>
      <c r="E51" s="11"/>
      <c r="F51" s="6"/>
      <c r="H51" s="24"/>
      <c r="I51" s="21"/>
      <c r="J51" s="17"/>
      <c r="K51" s="16"/>
      <c r="W51" s="39"/>
    </row>
    <row r="52" spans="1:23" x14ac:dyDescent="0.3">
      <c r="A52" s="8"/>
      <c r="B52" s="5"/>
      <c r="D52" s="6"/>
      <c r="E52" s="11"/>
      <c r="F52" s="5"/>
      <c r="H52" s="24"/>
      <c r="I52" s="21"/>
      <c r="J52" s="17"/>
      <c r="K52" s="20"/>
      <c r="M52" s="8"/>
      <c r="N52" s="8"/>
      <c r="O52" s="8"/>
    </row>
    <row r="53" spans="1:23" ht="15" thickBot="1" x14ac:dyDescent="0.35">
      <c r="A53" s="8"/>
      <c r="B53" s="5"/>
      <c r="C53" s="6"/>
      <c r="D53" s="6"/>
      <c r="E53" s="11"/>
      <c r="F53" s="5"/>
      <c r="H53" s="24"/>
      <c r="I53" s="23"/>
      <c r="J53" s="17"/>
      <c r="K53" s="16"/>
    </row>
    <row r="54" spans="1:23" ht="15.6" thickTop="1" thickBot="1" x14ac:dyDescent="0.35">
      <c r="A54" s="1"/>
      <c r="B54" s="1"/>
      <c r="C54" s="1"/>
      <c r="D54" s="1"/>
      <c r="E54" s="1"/>
      <c r="F54" s="1"/>
      <c r="G54" s="18"/>
      <c r="H54" s="19"/>
      <c r="I54" s="17"/>
      <c r="J54" s="17"/>
      <c r="K54" s="9"/>
    </row>
    <row r="55" spans="1:23" ht="15" thickTop="1" x14ac:dyDescent="0.3">
      <c r="A55" s="8"/>
      <c r="B55" s="5"/>
      <c r="C55" s="6"/>
      <c r="D55" s="6"/>
      <c r="E55" s="6"/>
      <c r="F55" s="6"/>
      <c r="G55" s="24"/>
      <c r="H55" s="23"/>
      <c r="I55" s="17"/>
      <c r="J55" s="17"/>
      <c r="K55" s="17"/>
    </row>
    <row r="56" spans="1:23" x14ac:dyDescent="0.3">
      <c r="A56" s="8"/>
      <c r="B56" s="5"/>
      <c r="D56" s="5"/>
      <c r="F56" s="5"/>
      <c r="G56" s="24"/>
      <c r="H56" s="26"/>
      <c r="I56"/>
      <c r="J56" s="17"/>
      <c r="K56" s="15"/>
    </row>
    <row r="57" spans="1:23" x14ac:dyDescent="0.3">
      <c r="A57" s="8"/>
      <c r="B57" s="6"/>
      <c r="C57" s="6"/>
      <c r="D57" s="5"/>
      <c r="E57" s="6"/>
      <c r="F57" s="5"/>
      <c r="G57" s="24"/>
      <c r="H57" s="25"/>
      <c r="I57" s="9"/>
      <c r="J57" s="17"/>
      <c r="K57" s="33"/>
    </row>
    <row r="58" spans="1:23" x14ac:dyDescent="0.3">
      <c r="A58" s="8"/>
      <c r="G58" s="24"/>
      <c r="H58" s="27"/>
      <c r="I58"/>
      <c r="J58" s="16"/>
    </row>
    <row r="59" spans="1:23" x14ac:dyDescent="0.3">
      <c r="A59" s="8"/>
      <c r="D59" s="5"/>
      <c r="F59" s="5"/>
      <c r="G59" s="24"/>
      <c r="H59" s="26"/>
      <c r="I59"/>
      <c r="J59" s="9"/>
      <c r="K59" s="33"/>
    </row>
    <row r="60" spans="1:23" x14ac:dyDescent="0.3">
      <c r="A60" s="8"/>
      <c r="B60" s="5"/>
      <c r="D60" s="6"/>
      <c r="F60" s="6"/>
      <c r="G60" s="24"/>
      <c r="H60" s="26"/>
      <c r="I60"/>
    </row>
    <row r="61" spans="1:23" x14ac:dyDescent="0.3">
      <c r="A61" s="8"/>
      <c r="B61" s="5"/>
      <c r="C61" s="6"/>
      <c r="D61" s="5"/>
      <c r="F61" s="6"/>
      <c r="G61" s="24"/>
      <c r="H61" s="25"/>
      <c r="I61"/>
    </row>
    <row r="62" spans="1:23" x14ac:dyDescent="0.3">
      <c r="A62" s="8"/>
      <c r="B62" s="6"/>
      <c r="D62" s="5"/>
      <c r="F62" s="5"/>
      <c r="G62" s="24"/>
      <c r="H62" s="26"/>
      <c r="I62"/>
    </row>
    <row r="63" spans="1:23" x14ac:dyDescent="0.3">
      <c r="A63" s="2"/>
      <c r="B63" s="6"/>
      <c r="D63" s="5"/>
      <c r="E63" s="6"/>
      <c r="F63" s="5"/>
      <c r="G63" s="24"/>
      <c r="H63" s="26"/>
      <c r="I63"/>
    </row>
    <row r="64" spans="1:23" x14ac:dyDescent="0.3">
      <c r="A64" s="2"/>
      <c r="B64" s="5"/>
      <c r="D64" s="5"/>
      <c r="E64" s="6"/>
      <c r="G64" s="24"/>
      <c r="H64" s="25"/>
      <c r="I64" s="31"/>
    </row>
    <row r="65" spans="1:11" ht="15" thickBot="1" x14ac:dyDescent="0.35">
      <c r="A65" s="8"/>
      <c r="B65" s="6"/>
      <c r="C65" s="6"/>
      <c r="D65" s="5"/>
      <c r="E65" s="6"/>
      <c r="F65" s="6"/>
      <c r="G65" s="24"/>
      <c r="H65" s="25"/>
      <c r="I65"/>
    </row>
    <row r="66" spans="1:11" ht="15.6" thickTop="1" thickBot="1" x14ac:dyDescent="0.35">
      <c r="A66" s="1"/>
      <c r="B66" s="1"/>
      <c r="C66" s="1"/>
      <c r="D66" s="1"/>
      <c r="E66" s="1"/>
      <c r="F66" s="1"/>
      <c r="G66" s="1"/>
      <c r="H66" s="18"/>
      <c r="I66" s="19"/>
    </row>
    <row r="67" spans="1:11" ht="15" thickTop="1" x14ac:dyDescent="0.3">
      <c r="A67" s="8"/>
      <c r="B67" s="6"/>
      <c r="D67" s="6"/>
      <c r="E67" s="5"/>
      <c r="G67" s="5"/>
      <c r="H67" s="24"/>
      <c r="I67" s="32"/>
    </row>
    <row r="68" spans="1:11" x14ac:dyDescent="0.3">
      <c r="A68" s="8"/>
      <c r="B68" s="6"/>
      <c r="D68" s="5"/>
      <c r="E68" s="5"/>
      <c r="F68" s="6"/>
      <c r="G68" s="5"/>
      <c r="H68" s="24"/>
      <c r="I68" s="34"/>
      <c r="J68" s="35"/>
    </row>
    <row r="69" spans="1:11" x14ac:dyDescent="0.3">
      <c r="A69" s="8"/>
      <c r="B69" s="5"/>
      <c r="E69" s="5"/>
      <c r="F69" s="6"/>
      <c r="G69" s="5"/>
      <c r="H69" s="24"/>
      <c r="I69" s="32"/>
    </row>
    <row r="70" spans="1:11" x14ac:dyDescent="0.3">
      <c r="A70" s="8"/>
      <c r="B70" s="6"/>
      <c r="D70" s="6"/>
      <c r="F70" s="5"/>
      <c r="G70" s="5"/>
      <c r="H70" s="24"/>
      <c r="I70" s="32"/>
    </row>
    <row r="71" spans="1:11" x14ac:dyDescent="0.3">
      <c r="A71" s="8"/>
      <c r="B71" s="5"/>
      <c r="D71" s="6"/>
      <c r="E71" s="5"/>
      <c r="G71" s="5"/>
      <c r="H71" s="24"/>
      <c r="I71" s="34"/>
    </row>
    <row r="72" spans="1:11" x14ac:dyDescent="0.3">
      <c r="A72" s="8"/>
      <c r="B72" s="5"/>
      <c r="D72" s="6"/>
      <c r="G72" s="5"/>
      <c r="H72" s="24"/>
      <c r="I72" s="34"/>
    </row>
    <row r="73" spans="1:11" x14ac:dyDescent="0.3">
      <c r="A73" s="2"/>
      <c r="B73" s="5"/>
      <c r="D73" s="6"/>
      <c r="E73" s="5"/>
      <c r="G73" s="5"/>
      <c r="H73" s="24"/>
      <c r="I73" s="34"/>
      <c r="K73" s="16"/>
    </row>
    <row r="74" spans="1:11" x14ac:dyDescent="0.3">
      <c r="A74" s="8"/>
      <c r="B74" s="5"/>
      <c r="D74" s="6"/>
      <c r="E74" s="5"/>
      <c r="H74" s="24"/>
      <c r="I74" s="32"/>
      <c r="J74" s="35"/>
      <c r="K74" s="35"/>
    </row>
    <row r="75" spans="1:11" x14ac:dyDescent="0.3">
      <c r="A75" s="2"/>
      <c r="B75" s="5"/>
      <c r="C75" s="6"/>
      <c r="D75" s="5"/>
      <c r="E75" s="5"/>
      <c r="F75" s="5"/>
      <c r="G75" s="6"/>
      <c r="H75" s="24"/>
      <c r="I75" s="32"/>
    </row>
    <row r="76" spans="1:11" x14ac:dyDescent="0.3">
      <c r="A76" s="2"/>
      <c r="B76" s="5"/>
      <c r="D76" s="5"/>
      <c r="E76" s="5"/>
      <c r="F76" s="36"/>
      <c r="G76" s="5"/>
      <c r="H76" s="24"/>
      <c r="I76" s="32"/>
    </row>
    <row r="77" spans="1:11" x14ac:dyDescent="0.3">
      <c r="A77" s="8"/>
      <c r="B77" s="5"/>
      <c r="D77" s="6"/>
      <c r="F77" s="11"/>
      <c r="G77" s="6"/>
      <c r="H77" s="24"/>
      <c r="I77" s="34"/>
    </row>
    <row r="78" spans="1:11" x14ac:dyDescent="0.3">
      <c r="A78" s="8"/>
      <c r="B78" s="5"/>
      <c r="C78" s="6"/>
      <c r="D78" s="5"/>
      <c r="E78" s="6"/>
      <c r="F78" s="5"/>
      <c r="G78" s="6"/>
      <c r="H78" s="24"/>
      <c r="I78" s="32"/>
    </row>
    <row r="79" spans="1:11" x14ac:dyDescent="0.3">
      <c r="A79" s="8"/>
      <c r="B79" s="5"/>
      <c r="D79" s="5"/>
      <c r="E79" s="6"/>
      <c r="G79" s="5"/>
      <c r="H79" s="24"/>
      <c r="I79" s="32"/>
      <c r="J79" s="31"/>
    </row>
    <row r="80" spans="1:11" x14ac:dyDescent="0.3">
      <c r="A80" s="8"/>
      <c r="B80" s="5"/>
      <c r="D80" s="5"/>
      <c r="E80" s="6"/>
      <c r="G80" s="6"/>
      <c r="H80" s="24"/>
      <c r="I80" s="34"/>
    </row>
    <row r="81" spans="1:11" x14ac:dyDescent="0.3">
      <c r="A81" s="8"/>
      <c r="B81" s="5"/>
      <c r="D81" s="5"/>
      <c r="E81" s="5"/>
      <c r="F81" s="6"/>
      <c r="G81" s="6"/>
      <c r="H81" s="24"/>
      <c r="I81" s="32"/>
    </row>
    <row r="82" spans="1:11" x14ac:dyDescent="0.3">
      <c r="A82" s="8"/>
      <c r="B82" s="5"/>
      <c r="D82" s="5"/>
      <c r="E82" s="5"/>
      <c r="G82" s="6"/>
      <c r="H82" s="24"/>
      <c r="I82" s="34"/>
    </row>
    <row r="83" spans="1:11" x14ac:dyDescent="0.3">
      <c r="A83" s="8"/>
      <c r="B83" s="5"/>
      <c r="D83" s="6"/>
      <c r="E83" s="5"/>
      <c r="F83" s="6"/>
      <c r="G83" s="6"/>
      <c r="H83" s="24"/>
      <c r="I83" s="34"/>
    </row>
    <row r="84" spans="1:11" x14ac:dyDescent="0.3">
      <c r="A84" s="8"/>
      <c r="B84" s="5"/>
      <c r="C84" s="6"/>
      <c r="D84" s="5"/>
      <c r="E84" s="6"/>
      <c r="F84" s="6"/>
      <c r="H84" s="24"/>
      <c r="I84" s="34"/>
    </row>
    <row r="85" spans="1:11" x14ac:dyDescent="0.3">
      <c r="A85" s="8"/>
      <c r="D85" s="6"/>
      <c r="E85" s="6"/>
      <c r="H85" s="24"/>
      <c r="I85" s="34"/>
    </row>
    <row r="86" spans="1:11" x14ac:dyDescent="0.3">
      <c r="A86" s="8"/>
      <c r="B86" s="5"/>
      <c r="D86" s="6"/>
      <c r="E86" s="5"/>
      <c r="F86" s="5"/>
      <c r="G86" s="5"/>
      <c r="H86" s="24"/>
      <c r="I86" s="32"/>
    </row>
    <row r="87" spans="1:11" x14ac:dyDescent="0.3">
      <c r="A87" s="8"/>
      <c r="B87" s="6"/>
      <c r="D87" s="6"/>
      <c r="E87" s="5"/>
      <c r="F87" s="5"/>
      <c r="G87" s="5"/>
      <c r="H87" s="24"/>
      <c r="I87" s="32"/>
      <c r="J87" s="35"/>
    </row>
    <row r="88" spans="1:11" x14ac:dyDescent="0.3">
      <c r="A88" s="8"/>
      <c r="B88" s="5"/>
      <c r="D88" s="6"/>
      <c r="E88" s="5"/>
      <c r="H88" s="24"/>
      <c r="I88" s="34"/>
    </row>
    <row r="89" spans="1:11" x14ac:dyDescent="0.3">
      <c r="A89" s="8"/>
      <c r="B89" s="5"/>
      <c r="D89" s="5"/>
      <c r="E89" s="5"/>
      <c r="F89" s="6"/>
      <c r="G89" s="5"/>
      <c r="H89" s="24"/>
      <c r="I89" s="32"/>
    </row>
    <row r="90" spans="1:11" x14ac:dyDescent="0.3">
      <c r="A90" s="8"/>
      <c r="D90" s="6"/>
      <c r="F90" s="6"/>
      <c r="H90" s="24"/>
      <c r="I90" s="34"/>
    </row>
    <row r="91" spans="1:11" x14ac:dyDescent="0.3">
      <c r="A91" s="8"/>
      <c r="D91" s="6"/>
      <c r="H91" s="24"/>
      <c r="I91" s="34"/>
      <c r="K91" s="16"/>
    </row>
    <row r="92" spans="1:11" x14ac:dyDescent="0.3">
      <c r="A92" s="8"/>
      <c r="C92" s="6"/>
      <c r="D92" s="6"/>
      <c r="F92" s="5"/>
      <c r="G92" s="6"/>
      <c r="H92" s="24"/>
      <c r="I92" s="34"/>
      <c r="J92" s="31"/>
      <c r="K92" s="31"/>
    </row>
    <row r="93" spans="1:11" x14ac:dyDescent="0.3">
      <c r="A93" s="8"/>
      <c r="B93" s="6"/>
      <c r="D93" s="5"/>
      <c r="H93" s="24"/>
      <c r="I93" s="32"/>
    </row>
    <row r="94" spans="1:11" x14ac:dyDescent="0.3">
      <c r="A94" s="8"/>
      <c r="B94" s="6"/>
      <c r="D94" s="5"/>
      <c r="H94" s="24"/>
      <c r="I94" s="32"/>
    </row>
    <row r="95" spans="1:11" x14ac:dyDescent="0.3">
      <c r="A95" s="8"/>
      <c r="B95" s="6"/>
      <c r="D95" s="5"/>
      <c r="G95" s="5"/>
      <c r="H95" s="24"/>
      <c r="I95" s="32"/>
    </row>
    <row r="96" spans="1:11" x14ac:dyDescent="0.3">
      <c r="A96" s="8"/>
      <c r="B96" s="5"/>
      <c r="D96" s="5"/>
      <c r="E96" s="5"/>
      <c r="F96" s="5"/>
      <c r="G96" s="5"/>
      <c r="H96" s="24"/>
      <c r="I96" s="32"/>
    </row>
    <row r="97" spans="1:11" x14ac:dyDescent="0.3">
      <c r="A97" s="8"/>
      <c r="B97" s="6"/>
      <c r="D97" s="6"/>
      <c r="E97" s="6"/>
      <c r="H97" s="24"/>
      <c r="I97" s="34"/>
    </row>
    <row r="98" spans="1:11" ht="15" thickBot="1" x14ac:dyDescent="0.35">
      <c r="A98" s="8"/>
      <c r="B98" s="5"/>
      <c r="D98" s="6"/>
      <c r="E98" s="5"/>
      <c r="F98" s="11"/>
      <c r="G98" s="5"/>
      <c r="H98" s="24"/>
      <c r="I98" s="34"/>
    </row>
    <row r="99" spans="1:11" ht="15.6" thickTop="1" thickBot="1" x14ac:dyDescent="0.35">
      <c r="A99" s="8"/>
      <c r="B99" s="1"/>
      <c r="C99" s="1"/>
      <c r="D99" s="1"/>
      <c r="E99" s="1"/>
      <c r="F99" s="1"/>
      <c r="G99" s="18"/>
      <c r="H99" s="17"/>
      <c r="I99" s="17"/>
    </row>
    <row r="100" spans="1:11" ht="15" thickTop="1" x14ac:dyDescent="0.3">
      <c r="A100" s="8"/>
      <c r="B100" s="6"/>
      <c r="C100" s="6"/>
      <c r="D100" s="6"/>
      <c r="E100" s="5"/>
      <c r="F100" s="6"/>
      <c r="G100" s="24"/>
      <c r="H100" s="43"/>
      <c r="I100"/>
    </row>
    <row r="101" spans="1:11" x14ac:dyDescent="0.3">
      <c r="A101" s="8"/>
      <c r="B101" s="5"/>
      <c r="D101" s="5"/>
      <c r="E101" s="11"/>
      <c r="G101" s="24"/>
      <c r="H101" s="32"/>
      <c r="I101" s="31"/>
    </row>
    <row r="102" spans="1:11" x14ac:dyDescent="0.3">
      <c r="A102" s="8"/>
      <c r="B102" s="5"/>
      <c r="C102" s="6"/>
      <c r="D102" s="5"/>
      <c r="E102" s="5"/>
      <c r="F102" s="6"/>
      <c r="G102" s="24"/>
      <c r="H102" s="45"/>
      <c r="I102"/>
    </row>
    <row r="103" spans="1:11" ht="15" thickBot="1" x14ac:dyDescent="0.35">
      <c r="A103" s="8"/>
      <c r="B103" s="5"/>
      <c r="E103" s="5"/>
      <c r="F103" s="6"/>
      <c r="G103" s="24"/>
      <c r="H103" s="44"/>
      <c r="I103" s="35"/>
    </row>
    <row r="104" spans="1:11" ht="15.6" thickTop="1" thickBot="1" x14ac:dyDescent="0.35">
      <c r="A104" s="8"/>
      <c r="B104" s="1"/>
      <c r="C104" s="1"/>
      <c r="D104" s="1"/>
      <c r="E104" s="1"/>
      <c r="F104" s="1"/>
      <c r="G104" s="1"/>
      <c r="H104" s="18"/>
      <c r="I104"/>
    </row>
    <row r="105" spans="1:11" ht="15" thickTop="1" x14ac:dyDescent="0.3">
      <c r="A105" s="8"/>
      <c r="B105" s="6"/>
      <c r="C105" s="6"/>
      <c r="E105" s="5"/>
      <c r="F105" s="6"/>
      <c r="G105" s="5"/>
      <c r="H105" s="24"/>
      <c r="I105" s="44"/>
      <c r="K105" s="16"/>
    </row>
    <row r="106" spans="1:11" x14ac:dyDescent="0.3">
      <c r="A106" s="8"/>
      <c r="B106" s="6"/>
      <c r="C106" s="6"/>
      <c r="E106" s="5"/>
      <c r="G106" s="5"/>
      <c r="H106" s="24"/>
      <c r="I106" s="34"/>
      <c r="J106" s="31"/>
      <c r="K106" s="48"/>
    </row>
    <row r="107" spans="1:11" x14ac:dyDescent="0.3">
      <c r="A107" s="8"/>
      <c r="B107" s="5"/>
      <c r="D107" s="5"/>
      <c r="E107" s="6"/>
      <c r="G107" s="5"/>
      <c r="H107" s="24"/>
      <c r="I107" s="32"/>
    </row>
    <row r="108" spans="1:11" x14ac:dyDescent="0.3">
      <c r="A108" s="8"/>
      <c r="B108" s="6"/>
      <c r="C108" s="6"/>
      <c r="D108" s="6"/>
      <c r="F108" s="6"/>
      <c r="G108" s="6"/>
      <c r="H108" s="24"/>
      <c r="I108" s="34"/>
    </row>
    <row r="109" spans="1:11" x14ac:dyDescent="0.3">
      <c r="A109" s="8"/>
      <c r="B109" s="5"/>
      <c r="C109" s="6"/>
      <c r="D109" s="5"/>
      <c r="E109" s="5"/>
      <c r="G109" s="5"/>
      <c r="H109" s="24"/>
      <c r="I109" s="34"/>
      <c r="J109" s="31"/>
    </row>
    <row r="110" spans="1:11" x14ac:dyDescent="0.3">
      <c r="A110" s="8"/>
      <c r="B110" s="5"/>
      <c r="D110" s="6"/>
      <c r="E110" s="6"/>
      <c r="G110" s="5"/>
      <c r="H110" s="24"/>
      <c r="I110" s="34"/>
    </row>
    <row r="111" spans="1:11" x14ac:dyDescent="0.3">
      <c r="A111" s="8"/>
      <c r="B111" s="5"/>
      <c r="C111" s="5"/>
      <c r="D111" s="5"/>
      <c r="E111" s="6"/>
      <c r="F111" s="5"/>
      <c r="G111" s="5"/>
      <c r="H111" s="24"/>
      <c r="I111" s="32"/>
    </row>
    <row r="112" spans="1:11" x14ac:dyDescent="0.3">
      <c r="A112" s="8"/>
      <c r="H112" s="39"/>
      <c r="I112" s="57"/>
      <c r="J112" s="35"/>
    </row>
    <row r="113" spans="1:12" ht="15" thickBot="1" x14ac:dyDescent="0.35">
      <c r="A113" s="8"/>
      <c r="H113" s="39"/>
      <c r="I113" s="57"/>
      <c r="K113" s="16"/>
    </row>
    <row r="114" spans="1:12" ht="15.6" thickTop="1" thickBot="1" x14ac:dyDescent="0.35">
      <c r="F114" s="58"/>
      <c r="I114"/>
      <c r="J114" s="31"/>
      <c r="K114" s="31"/>
      <c r="L114" s="15"/>
    </row>
    <row r="115" spans="1:12" ht="15.6" thickTop="1" thickBot="1" x14ac:dyDescent="0.35">
      <c r="A115" s="8"/>
      <c r="F115" s="39"/>
      <c r="G115" s="57"/>
      <c r="I115"/>
      <c r="L115" s="33"/>
    </row>
    <row r="116" spans="1:12" ht="15.6" thickTop="1" thickBot="1" x14ac:dyDescent="0.35">
      <c r="A116" s="8"/>
      <c r="E116" s="58"/>
      <c r="I116"/>
    </row>
    <row r="117" spans="1:12" ht="15" thickTop="1" x14ac:dyDescent="0.3">
      <c r="A117" s="8"/>
      <c r="E117" s="39"/>
      <c r="F117" s="57"/>
      <c r="I117"/>
    </row>
    <row r="118" spans="1:12" x14ac:dyDescent="0.3">
      <c r="A118" s="8"/>
      <c r="E118" s="39"/>
      <c r="F118" s="57"/>
      <c r="G118" s="35"/>
      <c r="I118"/>
    </row>
    <row r="119" spans="1:12" x14ac:dyDescent="0.3">
      <c r="A119" s="8"/>
      <c r="E119" s="39"/>
      <c r="F119" s="57"/>
      <c r="I119"/>
    </row>
    <row r="120" spans="1:12" x14ac:dyDescent="0.3">
      <c r="A120" s="8"/>
      <c r="E120" s="39"/>
      <c r="F120" s="57"/>
      <c r="G120" s="31"/>
      <c r="I120"/>
    </row>
    <row r="121" spans="1:12" x14ac:dyDescent="0.3">
      <c r="A121" s="8"/>
      <c r="E121" s="39"/>
      <c r="F121" s="57"/>
      <c r="I121"/>
    </row>
    <row r="122" spans="1:12" ht="15" thickBot="1" x14ac:dyDescent="0.35">
      <c r="A122" s="8"/>
      <c r="E122" s="39"/>
      <c r="F122" s="57"/>
      <c r="I122"/>
    </row>
    <row r="123" spans="1:12" ht="15.6" thickTop="1" thickBot="1" x14ac:dyDescent="0.35">
      <c r="A123" s="8"/>
      <c r="F123" s="58"/>
      <c r="I123"/>
    </row>
    <row r="124" spans="1:12" ht="15" thickTop="1" x14ac:dyDescent="0.3">
      <c r="A124" s="8"/>
      <c r="F124" s="39"/>
      <c r="G124" s="57"/>
      <c r="I124"/>
    </row>
    <row r="125" spans="1:12" x14ac:dyDescent="0.3">
      <c r="A125" s="8"/>
      <c r="F125" s="39"/>
      <c r="G125" s="57"/>
      <c r="H125" s="35"/>
      <c r="I125" s="35"/>
    </row>
    <row r="126" spans="1:12" x14ac:dyDescent="0.3">
      <c r="A126" s="8"/>
      <c r="F126" s="39"/>
      <c r="G126" s="57"/>
      <c r="I126"/>
    </row>
    <row r="127" spans="1:12" x14ac:dyDescent="0.3">
      <c r="I127"/>
    </row>
    <row r="128" spans="1:12" x14ac:dyDescent="0.3">
      <c r="I128"/>
    </row>
    <row r="129" spans="9:9" x14ac:dyDescent="0.3">
      <c r="I129"/>
    </row>
    <row r="130" spans="9:9" x14ac:dyDescent="0.3">
      <c r="I130"/>
    </row>
    <row r="131" spans="9:9" x14ac:dyDescent="0.3">
      <c r="I131"/>
    </row>
    <row r="132" spans="9:9" x14ac:dyDescent="0.3">
      <c r="I132"/>
    </row>
    <row r="133" spans="9:9" x14ac:dyDescent="0.3">
      <c r="I133"/>
    </row>
    <row r="134" spans="9:9" x14ac:dyDescent="0.3">
      <c r="I134"/>
    </row>
    <row r="135" spans="9:9" x14ac:dyDescent="0.3">
      <c r="I135"/>
    </row>
    <row r="136" spans="9:9" x14ac:dyDescent="0.3">
      <c r="I136"/>
    </row>
    <row r="137" spans="9:9" x14ac:dyDescent="0.3">
      <c r="I137"/>
    </row>
    <row r="138" spans="9:9" x14ac:dyDescent="0.3">
      <c r="I138"/>
    </row>
    <row r="139" spans="9:9" x14ac:dyDescent="0.3">
      <c r="I139"/>
    </row>
    <row r="140" spans="9:9" x14ac:dyDescent="0.3">
      <c r="I140"/>
    </row>
    <row r="141" spans="9:9" x14ac:dyDescent="0.3">
      <c r="I141"/>
    </row>
    <row r="142" spans="9:9" x14ac:dyDescent="0.3">
      <c r="I142"/>
    </row>
    <row r="143" spans="9:9" x14ac:dyDescent="0.3">
      <c r="I143"/>
    </row>
    <row r="144" spans="9:9" x14ac:dyDescent="0.3">
      <c r="I144"/>
    </row>
    <row r="145" spans="9:9" x14ac:dyDescent="0.3">
      <c r="I145"/>
    </row>
    <row r="146" spans="9:9" x14ac:dyDescent="0.3">
      <c r="I146"/>
    </row>
    <row r="147" spans="9:9" x14ac:dyDescent="0.3">
      <c r="I147"/>
    </row>
    <row r="148" spans="9:9" x14ac:dyDescent="0.3">
      <c r="I148"/>
    </row>
    <row r="149" spans="9:9" x14ac:dyDescent="0.3">
      <c r="I149"/>
    </row>
    <row r="150" spans="9:9" x14ac:dyDescent="0.3">
      <c r="I150"/>
    </row>
    <row r="151" spans="9:9" x14ac:dyDescent="0.3">
      <c r="I151"/>
    </row>
    <row r="152" spans="9:9" x14ac:dyDescent="0.3">
      <c r="I152"/>
    </row>
    <row r="153" spans="9:9" x14ac:dyDescent="0.3">
      <c r="I153"/>
    </row>
    <row r="154" spans="9:9" x14ac:dyDescent="0.3">
      <c r="I154"/>
    </row>
    <row r="155" spans="9:9" x14ac:dyDescent="0.3">
      <c r="I155"/>
    </row>
    <row r="156" spans="9:9" x14ac:dyDescent="0.3">
      <c r="I156"/>
    </row>
    <row r="157" spans="9:9" x14ac:dyDescent="0.3">
      <c r="I157"/>
    </row>
    <row r="158" spans="9:9" x14ac:dyDescent="0.3">
      <c r="I158"/>
    </row>
    <row r="159" spans="9:9" x14ac:dyDescent="0.3">
      <c r="I159"/>
    </row>
    <row r="160" spans="9:9" x14ac:dyDescent="0.3">
      <c r="I160"/>
    </row>
    <row r="161" spans="9:9" x14ac:dyDescent="0.3">
      <c r="I161"/>
    </row>
    <row r="162" spans="9:9" x14ac:dyDescent="0.3">
      <c r="I162"/>
    </row>
    <row r="163" spans="9:9" x14ac:dyDescent="0.3">
      <c r="I163"/>
    </row>
    <row r="164" spans="9:9" x14ac:dyDescent="0.3">
      <c r="I164"/>
    </row>
    <row r="165" spans="9:9" x14ac:dyDescent="0.3">
      <c r="I165"/>
    </row>
    <row r="166" spans="9:9" x14ac:dyDescent="0.3">
      <c r="I166"/>
    </row>
    <row r="167" spans="9:9" x14ac:dyDescent="0.3">
      <c r="I167"/>
    </row>
    <row r="168" spans="9:9" x14ac:dyDescent="0.3">
      <c r="I168"/>
    </row>
    <row r="169" spans="9:9" x14ac:dyDescent="0.3">
      <c r="I169"/>
    </row>
    <row r="170" spans="9:9" x14ac:dyDescent="0.3">
      <c r="I170"/>
    </row>
    <row r="171" spans="9:9" x14ac:dyDescent="0.3">
      <c r="I171"/>
    </row>
    <row r="172" spans="9:9" x14ac:dyDescent="0.3">
      <c r="I172"/>
    </row>
    <row r="173" spans="9:9" x14ac:dyDescent="0.3">
      <c r="I173"/>
    </row>
    <row r="174" spans="9:9" x14ac:dyDescent="0.3">
      <c r="I174"/>
    </row>
    <row r="175" spans="9:9" x14ac:dyDescent="0.3">
      <c r="I175"/>
    </row>
    <row r="176" spans="9:9" x14ac:dyDescent="0.3">
      <c r="I176"/>
    </row>
    <row r="177" spans="9:9" x14ac:dyDescent="0.3">
      <c r="I177"/>
    </row>
    <row r="178" spans="9:9" x14ac:dyDescent="0.3">
      <c r="I178"/>
    </row>
    <row r="179" spans="9:9" x14ac:dyDescent="0.3">
      <c r="I179"/>
    </row>
    <row r="180" spans="9:9" x14ac:dyDescent="0.3">
      <c r="I180"/>
    </row>
    <row r="181" spans="9:9" x14ac:dyDescent="0.3">
      <c r="I181"/>
    </row>
    <row r="182" spans="9:9" x14ac:dyDescent="0.3">
      <c r="I182"/>
    </row>
    <row r="183" spans="9:9" x14ac:dyDescent="0.3">
      <c r="I183"/>
    </row>
    <row r="184" spans="9:9" x14ac:dyDescent="0.3">
      <c r="I184"/>
    </row>
    <row r="185" spans="9:9" x14ac:dyDescent="0.3">
      <c r="I185"/>
    </row>
    <row r="186" spans="9:9" x14ac:dyDescent="0.3">
      <c r="I186"/>
    </row>
    <row r="187" spans="9:9" x14ac:dyDescent="0.3">
      <c r="I187"/>
    </row>
    <row r="188" spans="9:9" x14ac:dyDescent="0.3">
      <c r="I188"/>
    </row>
    <row r="189" spans="9:9" x14ac:dyDescent="0.3">
      <c r="I189"/>
    </row>
    <row r="190" spans="9:9" x14ac:dyDescent="0.3">
      <c r="I190"/>
    </row>
    <row r="191" spans="9:9" x14ac:dyDescent="0.3">
      <c r="I191"/>
    </row>
    <row r="192" spans="9:9" x14ac:dyDescent="0.3">
      <c r="I192"/>
    </row>
    <row r="193" spans="9:9" x14ac:dyDescent="0.3">
      <c r="I193"/>
    </row>
    <row r="194" spans="9:9" x14ac:dyDescent="0.3">
      <c r="I194"/>
    </row>
    <row r="195" spans="9:9" x14ac:dyDescent="0.3">
      <c r="I195"/>
    </row>
    <row r="196" spans="9:9" x14ac:dyDescent="0.3">
      <c r="I196"/>
    </row>
    <row r="197" spans="9:9" x14ac:dyDescent="0.3">
      <c r="I197"/>
    </row>
    <row r="198" spans="9:9" x14ac:dyDescent="0.3">
      <c r="I198"/>
    </row>
    <row r="199" spans="9:9" x14ac:dyDescent="0.3">
      <c r="I199"/>
    </row>
    <row r="200" spans="9:9" x14ac:dyDescent="0.3">
      <c r="I200"/>
    </row>
    <row r="201" spans="9:9" x14ac:dyDescent="0.3">
      <c r="I201"/>
    </row>
    <row r="202" spans="9:9" x14ac:dyDescent="0.3">
      <c r="I202"/>
    </row>
    <row r="203" spans="9:9" x14ac:dyDescent="0.3">
      <c r="I203"/>
    </row>
    <row r="204" spans="9:9" x14ac:dyDescent="0.3">
      <c r="I204"/>
    </row>
    <row r="205" spans="9:9" x14ac:dyDescent="0.3">
      <c r="I205"/>
    </row>
    <row r="206" spans="9:9" x14ac:dyDescent="0.3">
      <c r="I206"/>
    </row>
    <row r="207" spans="9:9" x14ac:dyDescent="0.3">
      <c r="I207"/>
    </row>
    <row r="208" spans="9:9" x14ac:dyDescent="0.3">
      <c r="I208"/>
    </row>
    <row r="209" spans="9:9" x14ac:dyDescent="0.3">
      <c r="I209"/>
    </row>
    <row r="210" spans="9:9" x14ac:dyDescent="0.3">
      <c r="I210"/>
    </row>
    <row r="211" spans="9:9" x14ac:dyDescent="0.3">
      <c r="I211"/>
    </row>
    <row r="212" spans="9:9" x14ac:dyDescent="0.3">
      <c r="I212"/>
    </row>
    <row r="213" spans="9:9" x14ac:dyDescent="0.3">
      <c r="I213"/>
    </row>
    <row r="214" spans="9:9" x14ac:dyDescent="0.3">
      <c r="I214"/>
    </row>
    <row r="215" spans="9:9" x14ac:dyDescent="0.3">
      <c r="I215"/>
    </row>
    <row r="216" spans="9:9" x14ac:dyDescent="0.3">
      <c r="I216"/>
    </row>
    <row r="217" spans="9:9" x14ac:dyDescent="0.3">
      <c r="I217"/>
    </row>
    <row r="218" spans="9:9" x14ac:dyDescent="0.3">
      <c r="I218"/>
    </row>
    <row r="219" spans="9:9" x14ac:dyDescent="0.3">
      <c r="I219"/>
    </row>
    <row r="220" spans="9:9" x14ac:dyDescent="0.3">
      <c r="I220"/>
    </row>
    <row r="221" spans="9:9" x14ac:dyDescent="0.3">
      <c r="I221"/>
    </row>
    <row r="222" spans="9:9" x14ac:dyDescent="0.3">
      <c r="I222"/>
    </row>
    <row r="223" spans="9:9" x14ac:dyDescent="0.3">
      <c r="I223"/>
    </row>
    <row r="224" spans="9:9" x14ac:dyDescent="0.3">
      <c r="I224"/>
    </row>
    <row r="225" spans="9:9" x14ac:dyDescent="0.3">
      <c r="I225"/>
    </row>
    <row r="226" spans="9:9" x14ac:dyDescent="0.3">
      <c r="I226"/>
    </row>
    <row r="227" spans="9:9" x14ac:dyDescent="0.3">
      <c r="I227"/>
    </row>
    <row r="228" spans="9:9" x14ac:dyDescent="0.3">
      <c r="I228"/>
    </row>
    <row r="229" spans="9:9" x14ac:dyDescent="0.3">
      <c r="I229"/>
    </row>
    <row r="230" spans="9:9" x14ac:dyDescent="0.3">
      <c r="I230"/>
    </row>
    <row r="231" spans="9:9" x14ac:dyDescent="0.3">
      <c r="I231"/>
    </row>
    <row r="232" spans="9:9" x14ac:dyDescent="0.3">
      <c r="I232"/>
    </row>
    <row r="233" spans="9:9" x14ac:dyDescent="0.3">
      <c r="I233"/>
    </row>
    <row r="234" spans="9:9" x14ac:dyDescent="0.3">
      <c r="I234"/>
    </row>
    <row r="235" spans="9:9" x14ac:dyDescent="0.3">
      <c r="I235"/>
    </row>
    <row r="236" spans="9:9" x14ac:dyDescent="0.3">
      <c r="I236"/>
    </row>
    <row r="237" spans="9:9" x14ac:dyDescent="0.3">
      <c r="I237"/>
    </row>
    <row r="238" spans="9:9" x14ac:dyDescent="0.3">
      <c r="I238"/>
    </row>
    <row r="239" spans="9:9" x14ac:dyDescent="0.3">
      <c r="I239"/>
    </row>
    <row r="240" spans="9:9" x14ac:dyDescent="0.3">
      <c r="I240"/>
    </row>
    <row r="241" spans="9:9" x14ac:dyDescent="0.3">
      <c r="I241"/>
    </row>
    <row r="242" spans="9:9" x14ac:dyDescent="0.3">
      <c r="I242"/>
    </row>
    <row r="243" spans="9:9" x14ac:dyDescent="0.3">
      <c r="I243"/>
    </row>
    <row r="244" spans="9:9" x14ac:dyDescent="0.3">
      <c r="I244"/>
    </row>
    <row r="245" spans="9:9" x14ac:dyDescent="0.3">
      <c r="I245"/>
    </row>
    <row r="246" spans="9:9" x14ac:dyDescent="0.3">
      <c r="I246"/>
    </row>
    <row r="247" spans="9:9" x14ac:dyDescent="0.3">
      <c r="I247"/>
    </row>
    <row r="248" spans="9:9" x14ac:dyDescent="0.3">
      <c r="I248"/>
    </row>
    <row r="249" spans="9:9" x14ac:dyDescent="0.3">
      <c r="I249"/>
    </row>
    <row r="250" spans="9:9" x14ac:dyDescent="0.3">
      <c r="I250"/>
    </row>
    <row r="251" spans="9:9" x14ac:dyDescent="0.3">
      <c r="I251"/>
    </row>
    <row r="252" spans="9:9" x14ac:dyDescent="0.3">
      <c r="I252"/>
    </row>
    <row r="253" spans="9:9" x14ac:dyDescent="0.3">
      <c r="I253"/>
    </row>
    <row r="254" spans="9:9" x14ac:dyDescent="0.3">
      <c r="I254"/>
    </row>
    <row r="255" spans="9:9" x14ac:dyDescent="0.3">
      <c r="I255"/>
    </row>
    <row r="256" spans="9:9" x14ac:dyDescent="0.3">
      <c r="I256"/>
    </row>
    <row r="257" spans="9:9" x14ac:dyDescent="0.3">
      <c r="I257"/>
    </row>
    <row r="258" spans="9:9" x14ac:dyDescent="0.3">
      <c r="I258"/>
    </row>
    <row r="259" spans="9:9" x14ac:dyDescent="0.3">
      <c r="I259"/>
    </row>
    <row r="260" spans="9:9" x14ac:dyDescent="0.3">
      <c r="I260"/>
    </row>
    <row r="261" spans="9:9" x14ac:dyDescent="0.3">
      <c r="I261"/>
    </row>
    <row r="262" spans="9:9" x14ac:dyDescent="0.3">
      <c r="I262"/>
    </row>
    <row r="263" spans="9:9" x14ac:dyDescent="0.3">
      <c r="I263"/>
    </row>
    <row r="264" spans="9:9" x14ac:dyDescent="0.3">
      <c r="I264"/>
    </row>
    <row r="265" spans="9:9" x14ac:dyDescent="0.3">
      <c r="I265"/>
    </row>
    <row r="266" spans="9:9" x14ac:dyDescent="0.3">
      <c r="I266"/>
    </row>
    <row r="267" spans="9:9" x14ac:dyDescent="0.3">
      <c r="I267"/>
    </row>
    <row r="268" spans="9:9" x14ac:dyDescent="0.3">
      <c r="I268"/>
    </row>
    <row r="269" spans="9:9" x14ac:dyDescent="0.3">
      <c r="I269"/>
    </row>
    <row r="270" spans="9:9" x14ac:dyDescent="0.3">
      <c r="I270"/>
    </row>
    <row r="271" spans="9:9" x14ac:dyDescent="0.3">
      <c r="I271"/>
    </row>
    <row r="272" spans="9:9" x14ac:dyDescent="0.3">
      <c r="I272"/>
    </row>
    <row r="273" spans="9:9" x14ac:dyDescent="0.3">
      <c r="I273"/>
    </row>
    <row r="274" spans="9:9" x14ac:dyDescent="0.3">
      <c r="I274"/>
    </row>
    <row r="275" spans="9:9" x14ac:dyDescent="0.3">
      <c r="I275"/>
    </row>
    <row r="276" spans="9:9" x14ac:dyDescent="0.3">
      <c r="I276"/>
    </row>
    <row r="277" spans="9:9" x14ac:dyDescent="0.3">
      <c r="I277"/>
    </row>
    <row r="278" spans="9:9" x14ac:dyDescent="0.3">
      <c r="I278"/>
    </row>
    <row r="279" spans="9:9" x14ac:dyDescent="0.3">
      <c r="I279"/>
    </row>
    <row r="280" spans="9:9" x14ac:dyDescent="0.3">
      <c r="I280"/>
    </row>
    <row r="281" spans="9:9" x14ac:dyDescent="0.3">
      <c r="I281"/>
    </row>
    <row r="282" spans="9:9" x14ac:dyDescent="0.3">
      <c r="I282"/>
    </row>
    <row r="283" spans="9:9" x14ac:dyDescent="0.3">
      <c r="I283"/>
    </row>
    <row r="284" spans="9:9" x14ac:dyDescent="0.3">
      <c r="I284"/>
    </row>
    <row r="285" spans="9:9" x14ac:dyDescent="0.3">
      <c r="I285"/>
    </row>
    <row r="286" spans="9:9" x14ac:dyDescent="0.3">
      <c r="I286"/>
    </row>
    <row r="287" spans="9:9" x14ac:dyDescent="0.3">
      <c r="I287"/>
    </row>
    <row r="288" spans="9:9" x14ac:dyDescent="0.3">
      <c r="I288"/>
    </row>
    <row r="289" spans="9:9" x14ac:dyDescent="0.3">
      <c r="I289"/>
    </row>
    <row r="290" spans="9:9" x14ac:dyDescent="0.3">
      <c r="I290"/>
    </row>
    <row r="291" spans="9:9" x14ac:dyDescent="0.3">
      <c r="I291"/>
    </row>
    <row r="292" spans="9:9" x14ac:dyDescent="0.3">
      <c r="I292"/>
    </row>
    <row r="293" spans="9:9" x14ac:dyDescent="0.3">
      <c r="I293"/>
    </row>
    <row r="294" spans="9:9" x14ac:dyDescent="0.3">
      <c r="I294"/>
    </row>
    <row r="295" spans="9:9" x14ac:dyDescent="0.3">
      <c r="I295"/>
    </row>
    <row r="296" spans="9:9" x14ac:dyDescent="0.3">
      <c r="I296"/>
    </row>
    <row r="297" spans="9:9" x14ac:dyDescent="0.3">
      <c r="I297"/>
    </row>
    <row r="298" spans="9:9" x14ac:dyDescent="0.3">
      <c r="I298"/>
    </row>
    <row r="299" spans="9:9" x14ac:dyDescent="0.3">
      <c r="I299"/>
    </row>
    <row r="300" spans="9:9" x14ac:dyDescent="0.3">
      <c r="I300"/>
    </row>
    <row r="301" spans="9:9" x14ac:dyDescent="0.3">
      <c r="I301"/>
    </row>
    <row r="302" spans="9:9" x14ac:dyDescent="0.3">
      <c r="I302"/>
    </row>
    <row r="303" spans="9:9" x14ac:dyDescent="0.3">
      <c r="I303"/>
    </row>
    <row r="304" spans="9:9" x14ac:dyDescent="0.3">
      <c r="I304"/>
    </row>
    <row r="305" spans="9:9" x14ac:dyDescent="0.3">
      <c r="I305"/>
    </row>
    <row r="306" spans="9:9" x14ac:dyDescent="0.3">
      <c r="I306"/>
    </row>
    <row r="307" spans="9:9" x14ac:dyDescent="0.3">
      <c r="I307"/>
    </row>
    <row r="308" spans="9:9" x14ac:dyDescent="0.3">
      <c r="I308"/>
    </row>
    <row r="309" spans="9:9" x14ac:dyDescent="0.3">
      <c r="I309"/>
    </row>
    <row r="310" spans="9:9" x14ac:dyDescent="0.3">
      <c r="I310"/>
    </row>
    <row r="311" spans="9:9" x14ac:dyDescent="0.3">
      <c r="I311"/>
    </row>
    <row r="312" spans="9:9" x14ac:dyDescent="0.3">
      <c r="I312"/>
    </row>
    <row r="313" spans="9:9" x14ac:dyDescent="0.3">
      <c r="I313"/>
    </row>
    <row r="314" spans="9:9" x14ac:dyDescent="0.3">
      <c r="I314"/>
    </row>
    <row r="315" spans="9:9" x14ac:dyDescent="0.3">
      <c r="I315"/>
    </row>
    <row r="316" spans="9:9" x14ac:dyDescent="0.3">
      <c r="I316"/>
    </row>
    <row r="317" spans="9:9" x14ac:dyDescent="0.3">
      <c r="I317"/>
    </row>
    <row r="318" spans="9:9" x14ac:dyDescent="0.3">
      <c r="I318"/>
    </row>
    <row r="319" spans="9:9" x14ac:dyDescent="0.3">
      <c r="I319"/>
    </row>
    <row r="320" spans="9:9" x14ac:dyDescent="0.3">
      <c r="I320"/>
    </row>
    <row r="321" spans="9:9" x14ac:dyDescent="0.3">
      <c r="I321"/>
    </row>
    <row r="322" spans="9:9" x14ac:dyDescent="0.3">
      <c r="I322"/>
    </row>
    <row r="323" spans="9:9" x14ac:dyDescent="0.3">
      <c r="I323"/>
    </row>
    <row r="324" spans="9:9" x14ac:dyDescent="0.3">
      <c r="I324"/>
    </row>
    <row r="325" spans="9:9" x14ac:dyDescent="0.3">
      <c r="I325"/>
    </row>
    <row r="326" spans="9:9" x14ac:dyDescent="0.3">
      <c r="I326"/>
    </row>
    <row r="327" spans="9:9" x14ac:dyDescent="0.3">
      <c r="I327"/>
    </row>
    <row r="328" spans="9:9" x14ac:dyDescent="0.3">
      <c r="I328"/>
    </row>
    <row r="329" spans="9:9" x14ac:dyDescent="0.3">
      <c r="I329"/>
    </row>
    <row r="330" spans="9:9" x14ac:dyDescent="0.3">
      <c r="I330"/>
    </row>
    <row r="331" spans="9:9" x14ac:dyDescent="0.3">
      <c r="I331"/>
    </row>
    <row r="332" spans="9:9" x14ac:dyDescent="0.3">
      <c r="I332"/>
    </row>
    <row r="333" spans="9:9" x14ac:dyDescent="0.3">
      <c r="I333"/>
    </row>
    <row r="334" spans="9:9" x14ac:dyDescent="0.3">
      <c r="I334"/>
    </row>
    <row r="335" spans="9:9" x14ac:dyDescent="0.3">
      <c r="I335"/>
    </row>
    <row r="336" spans="9:9" x14ac:dyDescent="0.3">
      <c r="I336"/>
    </row>
    <row r="337" spans="9:9" x14ac:dyDescent="0.3">
      <c r="I337"/>
    </row>
    <row r="338" spans="9:9" x14ac:dyDescent="0.3">
      <c r="I338"/>
    </row>
    <row r="339" spans="9:9" x14ac:dyDescent="0.3">
      <c r="I339"/>
    </row>
    <row r="340" spans="9:9" x14ac:dyDescent="0.3">
      <c r="I340"/>
    </row>
    <row r="341" spans="9:9" x14ac:dyDescent="0.3">
      <c r="I341"/>
    </row>
    <row r="342" spans="9:9" x14ac:dyDescent="0.3">
      <c r="I342"/>
    </row>
    <row r="343" spans="9:9" x14ac:dyDescent="0.3">
      <c r="I343"/>
    </row>
    <row r="344" spans="9:9" x14ac:dyDescent="0.3">
      <c r="I344"/>
    </row>
    <row r="345" spans="9:9" x14ac:dyDescent="0.3">
      <c r="I345"/>
    </row>
    <row r="346" spans="9:9" x14ac:dyDescent="0.3">
      <c r="I346"/>
    </row>
    <row r="347" spans="9:9" x14ac:dyDescent="0.3">
      <c r="I347"/>
    </row>
    <row r="348" spans="9:9" x14ac:dyDescent="0.3">
      <c r="I348"/>
    </row>
    <row r="349" spans="9:9" x14ac:dyDescent="0.3">
      <c r="I349"/>
    </row>
    <row r="350" spans="9:9" x14ac:dyDescent="0.3">
      <c r="I350"/>
    </row>
    <row r="351" spans="9:9" x14ac:dyDescent="0.3">
      <c r="I351"/>
    </row>
    <row r="352" spans="9:9" x14ac:dyDescent="0.3">
      <c r="I352"/>
    </row>
    <row r="353" spans="9:9" x14ac:dyDescent="0.3">
      <c r="I353"/>
    </row>
    <row r="354" spans="9:9" x14ac:dyDescent="0.3">
      <c r="I354"/>
    </row>
    <row r="355" spans="9:9" x14ac:dyDescent="0.3">
      <c r="I355"/>
    </row>
    <row r="356" spans="9:9" x14ac:dyDescent="0.3">
      <c r="I356"/>
    </row>
    <row r="357" spans="9:9" x14ac:dyDescent="0.3">
      <c r="I357"/>
    </row>
    <row r="358" spans="9:9" x14ac:dyDescent="0.3">
      <c r="I358"/>
    </row>
    <row r="359" spans="9:9" x14ac:dyDescent="0.3">
      <c r="I359"/>
    </row>
    <row r="360" spans="9:9" x14ac:dyDescent="0.3">
      <c r="I360"/>
    </row>
    <row r="361" spans="9:9" x14ac:dyDescent="0.3">
      <c r="I361"/>
    </row>
    <row r="362" spans="9:9" x14ac:dyDescent="0.3">
      <c r="I362"/>
    </row>
    <row r="363" spans="9:9" x14ac:dyDescent="0.3">
      <c r="I363"/>
    </row>
    <row r="364" spans="9:9" x14ac:dyDescent="0.3">
      <c r="I364"/>
    </row>
    <row r="365" spans="9:9" x14ac:dyDescent="0.3">
      <c r="I365"/>
    </row>
    <row r="366" spans="9:9" x14ac:dyDescent="0.3">
      <c r="I366"/>
    </row>
    <row r="367" spans="9:9" x14ac:dyDescent="0.3">
      <c r="I367"/>
    </row>
    <row r="368" spans="9:9" x14ac:dyDescent="0.3">
      <c r="I368"/>
    </row>
    <row r="369" spans="9:9" x14ac:dyDescent="0.3">
      <c r="I369"/>
    </row>
    <row r="370" spans="9:9" x14ac:dyDescent="0.3">
      <c r="I370"/>
    </row>
    <row r="371" spans="9:9" x14ac:dyDescent="0.3">
      <c r="I371"/>
    </row>
    <row r="372" spans="9:9" x14ac:dyDescent="0.3">
      <c r="I372"/>
    </row>
    <row r="373" spans="9:9" x14ac:dyDescent="0.3">
      <c r="I373"/>
    </row>
    <row r="374" spans="9:9" x14ac:dyDescent="0.3">
      <c r="I374"/>
    </row>
    <row r="375" spans="9:9" x14ac:dyDescent="0.3">
      <c r="I375"/>
    </row>
    <row r="376" spans="9:9" x14ac:dyDescent="0.3">
      <c r="I376"/>
    </row>
    <row r="377" spans="9:9" x14ac:dyDescent="0.3">
      <c r="I377"/>
    </row>
    <row r="378" spans="9:9" x14ac:dyDescent="0.3">
      <c r="I378"/>
    </row>
    <row r="379" spans="9:9" x14ac:dyDescent="0.3">
      <c r="I379"/>
    </row>
    <row r="380" spans="9:9" x14ac:dyDescent="0.3">
      <c r="I380"/>
    </row>
    <row r="381" spans="9:9" x14ac:dyDescent="0.3">
      <c r="I381"/>
    </row>
    <row r="382" spans="9:9" x14ac:dyDescent="0.3">
      <c r="I382"/>
    </row>
    <row r="383" spans="9:9" x14ac:dyDescent="0.3">
      <c r="I383"/>
    </row>
    <row r="384" spans="9:9" x14ac:dyDescent="0.3">
      <c r="I384"/>
    </row>
    <row r="385" spans="9:9" x14ac:dyDescent="0.3">
      <c r="I385"/>
    </row>
    <row r="386" spans="9:9" x14ac:dyDescent="0.3">
      <c r="I386"/>
    </row>
    <row r="387" spans="9:9" x14ac:dyDescent="0.3">
      <c r="I387"/>
    </row>
    <row r="388" spans="9:9" x14ac:dyDescent="0.3">
      <c r="I388"/>
    </row>
    <row r="389" spans="9:9" x14ac:dyDescent="0.3">
      <c r="I389"/>
    </row>
    <row r="390" spans="9:9" x14ac:dyDescent="0.3">
      <c r="I390"/>
    </row>
    <row r="391" spans="9:9" x14ac:dyDescent="0.3">
      <c r="I391"/>
    </row>
    <row r="392" spans="9:9" x14ac:dyDescent="0.3">
      <c r="I392"/>
    </row>
    <row r="393" spans="9:9" x14ac:dyDescent="0.3">
      <c r="I393"/>
    </row>
    <row r="394" spans="9:9" x14ac:dyDescent="0.3">
      <c r="I394"/>
    </row>
    <row r="395" spans="9:9" x14ac:dyDescent="0.3">
      <c r="I395"/>
    </row>
    <row r="396" spans="9:9" x14ac:dyDescent="0.3">
      <c r="I396"/>
    </row>
    <row r="397" spans="9:9" x14ac:dyDescent="0.3">
      <c r="I397"/>
    </row>
    <row r="398" spans="9:9" x14ac:dyDescent="0.3">
      <c r="I398"/>
    </row>
    <row r="399" spans="9:9" x14ac:dyDescent="0.3">
      <c r="I399"/>
    </row>
    <row r="400" spans="9:9" x14ac:dyDescent="0.3">
      <c r="I400"/>
    </row>
    <row r="401" spans="9:9" x14ac:dyDescent="0.3">
      <c r="I401"/>
    </row>
    <row r="402" spans="9:9" x14ac:dyDescent="0.3">
      <c r="I402"/>
    </row>
    <row r="403" spans="9:9" x14ac:dyDescent="0.3">
      <c r="I403"/>
    </row>
    <row r="404" spans="9:9" x14ac:dyDescent="0.3">
      <c r="I404"/>
    </row>
    <row r="405" spans="9:9" x14ac:dyDescent="0.3">
      <c r="I405"/>
    </row>
    <row r="406" spans="9:9" x14ac:dyDescent="0.3">
      <c r="I406"/>
    </row>
    <row r="407" spans="9:9" x14ac:dyDescent="0.3">
      <c r="I407"/>
    </row>
    <row r="408" spans="9:9" x14ac:dyDescent="0.3">
      <c r="I408"/>
    </row>
    <row r="409" spans="9:9" x14ac:dyDescent="0.3">
      <c r="I409"/>
    </row>
    <row r="410" spans="9:9" x14ac:dyDescent="0.3">
      <c r="I410"/>
    </row>
    <row r="411" spans="9:9" x14ac:dyDescent="0.3">
      <c r="I411"/>
    </row>
    <row r="412" spans="9:9" x14ac:dyDescent="0.3">
      <c r="I412"/>
    </row>
    <row r="413" spans="9:9" x14ac:dyDescent="0.3">
      <c r="I413"/>
    </row>
    <row r="414" spans="9:9" x14ac:dyDescent="0.3">
      <c r="I414"/>
    </row>
    <row r="415" spans="9:9" x14ac:dyDescent="0.3">
      <c r="I415"/>
    </row>
    <row r="416" spans="9:9" x14ac:dyDescent="0.3">
      <c r="I416"/>
    </row>
    <row r="417" spans="9:9" x14ac:dyDescent="0.3">
      <c r="I417"/>
    </row>
    <row r="418" spans="9:9" x14ac:dyDescent="0.3">
      <c r="I418"/>
    </row>
    <row r="419" spans="9:9" x14ac:dyDescent="0.3">
      <c r="I419"/>
    </row>
    <row r="420" spans="9:9" x14ac:dyDescent="0.3">
      <c r="I420"/>
    </row>
    <row r="421" spans="9:9" x14ac:dyDescent="0.3">
      <c r="I421"/>
    </row>
    <row r="422" spans="9:9" x14ac:dyDescent="0.3">
      <c r="I422"/>
    </row>
    <row r="423" spans="9:9" x14ac:dyDescent="0.3">
      <c r="I423"/>
    </row>
    <row r="424" spans="9:9" x14ac:dyDescent="0.3">
      <c r="I424"/>
    </row>
    <row r="425" spans="9:9" x14ac:dyDescent="0.3">
      <c r="I425"/>
    </row>
    <row r="426" spans="9:9" x14ac:dyDescent="0.3">
      <c r="I426"/>
    </row>
    <row r="427" spans="9:9" x14ac:dyDescent="0.3">
      <c r="I427"/>
    </row>
    <row r="428" spans="9:9" x14ac:dyDescent="0.3">
      <c r="I428"/>
    </row>
    <row r="429" spans="9:9" x14ac:dyDescent="0.3">
      <c r="I429"/>
    </row>
    <row r="430" spans="9:9" x14ac:dyDescent="0.3">
      <c r="I430"/>
    </row>
    <row r="431" spans="9:9" x14ac:dyDescent="0.3">
      <c r="I431"/>
    </row>
    <row r="432" spans="9:9" x14ac:dyDescent="0.3">
      <c r="I432"/>
    </row>
    <row r="433" spans="9:9" x14ac:dyDescent="0.3">
      <c r="I433"/>
    </row>
    <row r="434" spans="9:9" x14ac:dyDescent="0.3">
      <c r="I434"/>
    </row>
    <row r="435" spans="9:9" x14ac:dyDescent="0.3">
      <c r="I435"/>
    </row>
    <row r="436" spans="9:9" x14ac:dyDescent="0.3">
      <c r="I436"/>
    </row>
    <row r="437" spans="9:9" x14ac:dyDescent="0.3">
      <c r="I437"/>
    </row>
    <row r="438" spans="9:9" x14ac:dyDescent="0.3">
      <c r="I438"/>
    </row>
    <row r="439" spans="9:9" x14ac:dyDescent="0.3">
      <c r="I439"/>
    </row>
    <row r="440" spans="9:9" x14ac:dyDescent="0.3">
      <c r="I440"/>
    </row>
    <row r="441" spans="9:9" x14ac:dyDescent="0.3">
      <c r="I441"/>
    </row>
    <row r="442" spans="9:9" x14ac:dyDescent="0.3">
      <c r="I442"/>
    </row>
    <row r="443" spans="9:9" x14ac:dyDescent="0.3">
      <c r="I443"/>
    </row>
    <row r="444" spans="9:9" x14ac:dyDescent="0.3">
      <c r="I444"/>
    </row>
    <row r="445" spans="9:9" x14ac:dyDescent="0.3">
      <c r="I445"/>
    </row>
    <row r="446" spans="9:9" x14ac:dyDescent="0.3">
      <c r="I446"/>
    </row>
    <row r="447" spans="9:9" x14ac:dyDescent="0.3">
      <c r="I447"/>
    </row>
    <row r="448" spans="9:9" x14ac:dyDescent="0.3">
      <c r="I448"/>
    </row>
    <row r="449" spans="9:9" x14ac:dyDescent="0.3">
      <c r="I449"/>
    </row>
    <row r="450" spans="9:9" x14ac:dyDescent="0.3">
      <c r="I450"/>
    </row>
    <row r="451" spans="9:9" x14ac:dyDescent="0.3">
      <c r="I451"/>
    </row>
    <row r="452" spans="9:9" x14ac:dyDescent="0.3">
      <c r="I452"/>
    </row>
    <row r="453" spans="9:9" x14ac:dyDescent="0.3">
      <c r="I453"/>
    </row>
    <row r="454" spans="9:9" x14ac:dyDescent="0.3">
      <c r="I454"/>
    </row>
    <row r="455" spans="9:9" x14ac:dyDescent="0.3">
      <c r="I455"/>
    </row>
    <row r="456" spans="9:9" x14ac:dyDescent="0.3">
      <c r="I456"/>
    </row>
    <row r="457" spans="9:9" x14ac:dyDescent="0.3">
      <c r="I457"/>
    </row>
    <row r="458" spans="9:9" x14ac:dyDescent="0.3">
      <c r="I458"/>
    </row>
    <row r="459" spans="9:9" x14ac:dyDescent="0.3">
      <c r="I459"/>
    </row>
    <row r="460" spans="9:9" x14ac:dyDescent="0.3">
      <c r="I460"/>
    </row>
    <row r="461" spans="9:9" x14ac:dyDescent="0.3">
      <c r="I461"/>
    </row>
    <row r="462" spans="9:9" x14ac:dyDescent="0.3">
      <c r="I462"/>
    </row>
    <row r="463" spans="9:9" x14ac:dyDescent="0.3">
      <c r="I463"/>
    </row>
    <row r="464" spans="9:9" x14ac:dyDescent="0.3">
      <c r="I464"/>
    </row>
    <row r="465" spans="9:9" x14ac:dyDescent="0.3">
      <c r="I465"/>
    </row>
    <row r="466" spans="9:9" x14ac:dyDescent="0.3">
      <c r="I466"/>
    </row>
    <row r="467" spans="9:9" x14ac:dyDescent="0.3">
      <c r="I467"/>
    </row>
    <row r="468" spans="9:9" x14ac:dyDescent="0.3">
      <c r="I468"/>
    </row>
    <row r="469" spans="9:9" x14ac:dyDescent="0.3">
      <c r="I469"/>
    </row>
    <row r="470" spans="9:9" x14ac:dyDescent="0.3">
      <c r="I470"/>
    </row>
    <row r="471" spans="9:9" x14ac:dyDescent="0.3">
      <c r="I471"/>
    </row>
    <row r="472" spans="9:9" x14ac:dyDescent="0.3">
      <c r="I472"/>
    </row>
    <row r="473" spans="9:9" x14ac:dyDescent="0.3">
      <c r="I473"/>
    </row>
    <row r="474" spans="9:9" x14ac:dyDescent="0.3">
      <c r="I474"/>
    </row>
    <row r="475" spans="9:9" x14ac:dyDescent="0.3">
      <c r="I475"/>
    </row>
    <row r="476" spans="9:9" x14ac:dyDescent="0.3">
      <c r="I476"/>
    </row>
    <row r="477" spans="9:9" x14ac:dyDescent="0.3">
      <c r="I477"/>
    </row>
    <row r="478" spans="9:9" x14ac:dyDescent="0.3">
      <c r="I478"/>
    </row>
    <row r="479" spans="9:9" x14ac:dyDescent="0.3">
      <c r="I479"/>
    </row>
    <row r="480" spans="9:9" x14ac:dyDescent="0.3">
      <c r="I480"/>
    </row>
    <row r="481" spans="9:9" x14ac:dyDescent="0.3">
      <c r="I481"/>
    </row>
    <row r="482" spans="9:9" x14ac:dyDescent="0.3">
      <c r="I482"/>
    </row>
    <row r="483" spans="9:9" x14ac:dyDescent="0.3">
      <c r="I483"/>
    </row>
    <row r="484" spans="9:9" x14ac:dyDescent="0.3">
      <c r="I484"/>
    </row>
    <row r="485" spans="9:9" x14ac:dyDescent="0.3">
      <c r="I485"/>
    </row>
    <row r="486" spans="9:9" x14ac:dyDescent="0.3">
      <c r="I486"/>
    </row>
    <row r="487" spans="9:9" x14ac:dyDescent="0.3">
      <c r="I487"/>
    </row>
    <row r="488" spans="9:9" x14ac:dyDescent="0.3">
      <c r="I488"/>
    </row>
    <row r="489" spans="9:9" x14ac:dyDescent="0.3">
      <c r="I489"/>
    </row>
    <row r="490" spans="9:9" x14ac:dyDescent="0.3">
      <c r="I490"/>
    </row>
    <row r="491" spans="9:9" x14ac:dyDescent="0.3">
      <c r="I491"/>
    </row>
    <row r="492" spans="9:9" x14ac:dyDescent="0.3">
      <c r="I492"/>
    </row>
    <row r="493" spans="9:9" x14ac:dyDescent="0.3">
      <c r="I493"/>
    </row>
    <row r="494" spans="9:9" x14ac:dyDescent="0.3">
      <c r="I494"/>
    </row>
    <row r="495" spans="9:9" x14ac:dyDescent="0.3">
      <c r="I495"/>
    </row>
    <row r="496" spans="9:9" x14ac:dyDescent="0.3">
      <c r="I496"/>
    </row>
    <row r="497" spans="9:9" x14ac:dyDescent="0.3">
      <c r="I497"/>
    </row>
    <row r="498" spans="9:9" x14ac:dyDescent="0.3">
      <c r="I498"/>
    </row>
    <row r="499" spans="9:9" x14ac:dyDescent="0.3">
      <c r="I499"/>
    </row>
    <row r="500" spans="9:9" x14ac:dyDescent="0.3">
      <c r="I500"/>
    </row>
    <row r="501" spans="9:9" x14ac:dyDescent="0.3">
      <c r="I501"/>
    </row>
    <row r="502" spans="9:9" x14ac:dyDescent="0.3">
      <c r="I502"/>
    </row>
    <row r="503" spans="9:9" x14ac:dyDescent="0.3">
      <c r="I503"/>
    </row>
    <row r="504" spans="9:9" x14ac:dyDescent="0.3">
      <c r="I504"/>
    </row>
    <row r="505" spans="9:9" x14ac:dyDescent="0.3">
      <c r="I505"/>
    </row>
    <row r="506" spans="9:9" x14ac:dyDescent="0.3">
      <c r="I506"/>
    </row>
    <row r="507" spans="9:9" x14ac:dyDescent="0.3">
      <c r="I507"/>
    </row>
    <row r="508" spans="9:9" x14ac:dyDescent="0.3">
      <c r="I508"/>
    </row>
    <row r="509" spans="9:9" x14ac:dyDescent="0.3">
      <c r="I509"/>
    </row>
    <row r="510" spans="9:9" x14ac:dyDescent="0.3">
      <c r="I510"/>
    </row>
    <row r="511" spans="9:9" x14ac:dyDescent="0.3">
      <c r="I511"/>
    </row>
    <row r="512" spans="9:9" x14ac:dyDescent="0.3">
      <c r="I512"/>
    </row>
    <row r="513" spans="9:9" x14ac:dyDescent="0.3">
      <c r="I513"/>
    </row>
    <row r="514" spans="9:9" x14ac:dyDescent="0.3">
      <c r="I514"/>
    </row>
    <row r="515" spans="9:9" x14ac:dyDescent="0.3">
      <c r="I515"/>
    </row>
    <row r="516" spans="9:9" x14ac:dyDescent="0.3">
      <c r="I516"/>
    </row>
    <row r="517" spans="9:9" x14ac:dyDescent="0.3">
      <c r="I517"/>
    </row>
    <row r="518" spans="9:9" x14ac:dyDescent="0.3">
      <c r="I518"/>
    </row>
    <row r="519" spans="9:9" x14ac:dyDescent="0.3">
      <c r="I519"/>
    </row>
    <row r="520" spans="9:9" x14ac:dyDescent="0.3">
      <c r="I520"/>
    </row>
    <row r="521" spans="9:9" x14ac:dyDescent="0.3">
      <c r="I521"/>
    </row>
    <row r="522" spans="9:9" x14ac:dyDescent="0.3">
      <c r="I522"/>
    </row>
    <row r="523" spans="9:9" x14ac:dyDescent="0.3">
      <c r="I523"/>
    </row>
    <row r="524" spans="9:9" x14ac:dyDescent="0.3">
      <c r="I524"/>
    </row>
    <row r="525" spans="9:9" x14ac:dyDescent="0.3">
      <c r="I525"/>
    </row>
    <row r="526" spans="9:9" x14ac:dyDescent="0.3">
      <c r="I526"/>
    </row>
    <row r="527" spans="9:9" x14ac:dyDescent="0.3">
      <c r="I527"/>
    </row>
    <row r="528" spans="9:9" x14ac:dyDescent="0.3">
      <c r="I528"/>
    </row>
    <row r="529" spans="9:9" x14ac:dyDescent="0.3">
      <c r="I529"/>
    </row>
    <row r="530" spans="9:9" x14ac:dyDescent="0.3">
      <c r="I530"/>
    </row>
    <row r="531" spans="9:9" x14ac:dyDescent="0.3">
      <c r="I531"/>
    </row>
    <row r="532" spans="9:9" x14ac:dyDescent="0.3">
      <c r="I532"/>
    </row>
    <row r="533" spans="9:9" x14ac:dyDescent="0.3">
      <c r="I533"/>
    </row>
    <row r="534" spans="9:9" x14ac:dyDescent="0.3">
      <c r="I534"/>
    </row>
    <row r="535" spans="9:9" x14ac:dyDescent="0.3">
      <c r="I535"/>
    </row>
    <row r="536" spans="9:9" x14ac:dyDescent="0.3">
      <c r="I536"/>
    </row>
    <row r="537" spans="9:9" x14ac:dyDescent="0.3">
      <c r="I537"/>
    </row>
    <row r="538" spans="9:9" x14ac:dyDescent="0.3">
      <c r="I538"/>
    </row>
    <row r="539" spans="9:9" x14ac:dyDescent="0.3">
      <c r="I539"/>
    </row>
    <row r="540" spans="9:9" x14ac:dyDescent="0.3">
      <c r="I540"/>
    </row>
    <row r="541" spans="9:9" x14ac:dyDescent="0.3">
      <c r="I541"/>
    </row>
    <row r="542" spans="9:9" x14ac:dyDescent="0.3">
      <c r="I542"/>
    </row>
    <row r="543" spans="9:9" x14ac:dyDescent="0.3">
      <c r="I543"/>
    </row>
    <row r="544" spans="9:9" x14ac:dyDescent="0.3">
      <c r="I544"/>
    </row>
    <row r="545" spans="9:9" x14ac:dyDescent="0.3">
      <c r="I545"/>
    </row>
    <row r="546" spans="9:9" x14ac:dyDescent="0.3">
      <c r="I546"/>
    </row>
    <row r="547" spans="9:9" x14ac:dyDescent="0.3">
      <c r="I547"/>
    </row>
    <row r="548" spans="9:9" x14ac:dyDescent="0.3">
      <c r="I548"/>
    </row>
    <row r="549" spans="9:9" x14ac:dyDescent="0.3">
      <c r="I549"/>
    </row>
    <row r="550" spans="9:9" x14ac:dyDescent="0.3">
      <c r="I550"/>
    </row>
    <row r="551" spans="9:9" x14ac:dyDescent="0.3">
      <c r="I551"/>
    </row>
    <row r="552" spans="9:9" x14ac:dyDescent="0.3">
      <c r="I552"/>
    </row>
    <row r="553" spans="9:9" x14ac:dyDescent="0.3">
      <c r="I553"/>
    </row>
    <row r="554" spans="9:9" x14ac:dyDescent="0.3">
      <c r="I554"/>
    </row>
    <row r="555" spans="9:9" x14ac:dyDescent="0.3">
      <c r="I555"/>
    </row>
    <row r="556" spans="9:9" x14ac:dyDescent="0.3">
      <c r="I556"/>
    </row>
    <row r="557" spans="9:9" x14ac:dyDescent="0.3">
      <c r="I557"/>
    </row>
    <row r="558" spans="9:9" x14ac:dyDescent="0.3">
      <c r="I558"/>
    </row>
    <row r="559" spans="9:9" x14ac:dyDescent="0.3">
      <c r="I559"/>
    </row>
    <row r="560" spans="9:9" x14ac:dyDescent="0.3">
      <c r="I560"/>
    </row>
    <row r="561" spans="9:9" x14ac:dyDescent="0.3">
      <c r="I561"/>
    </row>
    <row r="562" spans="9:9" x14ac:dyDescent="0.3">
      <c r="I562"/>
    </row>
    <row r="563" spans="9:9" x14ac:dyDescent="0.3">
      <c r="I563"/>
    </row>
    <row r="564" spans="9:9" x14ac:dyDescent="0.3">
      <c r="I564"/>
    </row>
    <row r="565" spans="9:9" x14ac:dyDescent="0.3">
      <c r="I565"/>
    </row>
  </sheetData>
  <phoneticPr fontId="3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333B-52A5-44A7-B714-74741E8FFADD}">
  <dimension ref="A1:D9"/>
  <sheetViews>
    <sheetView tabSelected="1" workbookViewId="0">
      <selection activeCell="C2" sqref="C2"/>
    </sheetView>
  </sheetViews>
  <sheetFormatPr defaultRowHeight="14.4" x14ac:dyDescent="0.3"/>
  <cols>
    <col min="1" max="1" width="11.109375" customWidth="1"/>
    <col min="2" max="3" width="10.77734375" customWidth="1"/>
    <col min="4" max="4" width="11" customWidth="1"/>
  </cols>
  <sheetData>
    <row r="1" spans="1:4" x14ac:dyDescent="0.3">
      <c r="A1" s="62" t="s">
        <v>41</v>
      </c>
    </row>
    <row r="2" spans="1:4" x14ac:dyDescent="0.3">
      <c r="A2" s="7">
        <v>48853.22</v>
      </c>
      <c r="B2" s="65">
        <v>8866</v>
      </c>
      <c r="C2" s="69">
        <v>5032.29</v>
      </c>
    </row>
    <row r="4" spans="1:4" x14ac:dyDescent="0.3">
      <c r="A4" s="8" t="s">
        <v>43</v>
      </c>
      <c r="B4" s="8" t="s">
        <v>44</v>
      </c>
      <c r="C4" s="8" t="s">
        <v>45</v>
      </c>
      <c r="D4" s="8" t="s">
        <v>46</v>
      </c>
    </row>
    <row r="5" spans="1:4" x14ac:dyDescent="0.3">
      <c r="A5">
        <f>A2/4</f>
        <v>12213.305</v>
      </c>
    </row>
    <row r="6" spans="1:4" x14ac:dyDescent="0.3">
      <c r="A6" s="66" t="s">
        <v>49</v>
      </c>
    </row>
    <row r="7" spans="1:4" x14ac:dyDescent="0.3">
      <c r="A7">
        <v>2216.5</v>
      </c>
    </row>
    <row r="8" spans="1:4" x14ac:dyDescent="0.3">
      <c r="A8" s="66" t="s">
        <v>51</v>
      </c>
    </row>
    <row r="9" spans="1:4" x14ac:dyDescent="0.3">
      <c r="A9">
        <v>1258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7B77-EAA3-48CE-8E4E-8417133C0D59}">
  <dimension ref="A1:B2"/>
  <sheetViews>
    <sheetView workbookViewId="0">
      <selection activeCell="C5" sqref="C5"/>
    </sheetView>
  </sheetViews>
  <sheetFormatPr defaultRowHeight="14.4" x14ac:dyDescent="0.3"/>
  <cols>
    <col min="1" max="1" width="15.6640625" customWidth="1"/>
    <col min="2" max="2" width="16.33203125" customWidth="1"/>
  </cols>
  <sheetData>
    <row r="1" spans="1:2" x14ac:dyDescent="0.3">
      <c r="A1" s="16" t="s">
        <v>8</v>
      </c>
      <c r="B1" s="16" t="s">
        <v>16</v>
      </c>
    </row>
    <row r="2" spans="1:2" x14ac:dyDescent="0.3">
      <c r="A2" s="31">
        <v>-130895.12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E31C-D2BA-429B-8DC2-D0A75690462D}">
  <dimension ref="A1:B2"/>
  <sheetViews>
    <sheetView workbookViewId="0">
      <selection activeCell="B6" sqref="B6"/>
    </sheetView>
  </sheetViews>
  <sheetFormatPr defaultRowHeight="14.4" x14ac:dyDescent="0.3"/>
  <cols>
    <col min="1" max="1" width="17.6640625" customWidth="1"/>
    <col min="2" max="2" width="16.88671875" customWidth="1"/>
  </cols>
  <sheetData>
    <row r="1" spans="1:2" x14ac:dyDescent="0.3">
      <c r="A1" s="15" t="s">
        <v>10</v>
      </c>
      <c r="B1" s="15" t="s">
        <v>14</v>
      </c>
    </row>
    <row r="2" spans="1:2" x14ac:dyDescent="0.3">
      <c r="A2" s="56">
        <v>346924.89</v>
      </c>
      <c r="B2" s="33">
        <v>607585.24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39A6-3A88-4B1C-9535-6FB8125A3282}">
  <dimension ref="A1:D6"/>
  <sheetViews>
    <sheetView workbookViewId="0">
      <selection activeCell="B3" sqref="B3"/>
    </sheetView>
  </sheetViews>
  <sheetFormatPr defaultRowHeight="14.4" x14ac:dyDescent="0.3"/>
  <cols>
    <col min="1" max="2" width="19.109375" customWidth="1"/>
    <col min="3" max="3" width="17.44140625" customWidth="1"/>
    <col min="4" max="4" width="13" customWidth="1"/>
  </cols>
  <sheetData>
    <row r="1" spans="1:4" x14ac:dyDescent="0.3">
      <c r="A1" t="s">
        <v>3</v>
      </c>
      <c r="B1" t="s">
        <v>40</v>
      </c>
      <c r="C1" s="30" t="s">
        <v>0</v>
      </c>
      <c r="D1" t="s">
        <v>4</v>
      </c>
    </row>
    <row r="2" spans="1:4" x14ac:dyDescent="0.3">
      <c r="A2" s="8">
        <v>46159</v>
      </c>
      <c r="B2" s="29">
        <v>78144</v>
      </c>
      <c r="D2">
        <f>SUM(Таблица26[[#This Row],[Т-банк]:[СБЕР]])</f>
        <v>78144</v>
      </c>
    </row>
    <row r="3" spans="1:4" x14ac:dyDescent="0.3">
      <c r="A3" s="8">
        <v>46173</v>
      </c>
      <c r="B3" s="8"/>
      <c r="C3" s="29">
        <v>82400.88</v>
      </c>
      <c r="D3">
        <f>SUM(Таблица26[[#This Row],[Т-банк]:[СБЕР]])</f>
        <v>82400.88</v>
      </c>
    </row>
    <row r="4" spans="1:4" x14ac:dyDescent="0.3">
      <c r="A4" s="8">
        <v>46203</v>
      </c>
      <c r="B4" s="8"/>
      <c r="C4" s="30">
        <v>261982.57</v>
      </c>
      <c r="D4">
        <f>SUM(Таблица26[[#This Row],[Т-банк]:[СБЕР]])</f>
        <v>261982.57</v>
      </c>
    </row>
    <row r="5" spans="1:4" x14ac:dyDescent="0.3">
      <c r="A5" s="8">
        <v>46234</v>
      </c>
      <c r="B5" s="8"/>
      <c r="C5" s="30">
        <v>113567.67999999999</v>
      </c>
      <c r="D5">
        <f>SUM(Таблица26[[#This Row],[Т-банк]:[СБЕР]])</f>
        <v>113567.67999999999</v>
      </c>
    </row>
    <row r="6" spans="1:4" x14ac:dyDescent="0.3">
      <c r="A6" s="8" t="s">
        <v>41</v>
      </c>
      <c r="B6" s="8"/>
      <c r="D6" s="46">
        <f>D2+D3</f>
        <v>160544.88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C57E-416D-4A47-A392-863EB9D9C5F8}">
  <dimension ref="A1:D15"/>
  <sheetViews>
    <sheetView workbookViewId="0">
      <selection activeCell="H9" sqref="H9"/>
    </sheetView>
  </sheetViews>
  <sheetFormatPr defaultRowHeight="14.4" x14ac:dyDescent="0.3"/>
  <cols>
    <col min="1" max="1" width="17.77734375" customWidth="1"/>
    <col min="2" max="2" width="17.6640625" customWidth="1"/>
    <col min="3" max="3" width="19.44140625" customWidth="1"/>
    <col min="4" max="4" width="31" customWidth="1"/>
  </cols>
  <sheetData>
    <row r="1" spans="1:4" ht="28.8" x14ac:dyDescent="0.3">
      <c r="A1" s="50" t="s">
        <v>26</v>
      </c>
      <c r="B1" t="s">
        <v>27</v>
      </c>
      <c r="C1" s="52" t="s">
        <v>28</v>
      </c>
      <c r="D1" t="s">
        <v>1</v>
      </c>
    </row>
    <row r="2" spans="1:4" x14ac:dyDescent="0.3">
      <c r="B2" s="51"/>
      <c r="C2" s="53"/>
    </row>
    <row r="3" spans="1:4" x14ac:dyDescent="0.3">
      <c r="B3" s="51"/>
      <c r="C3" s="53"/>
    </row>
    <row r="4" spans="1:4" x14ac:dyDescent="0.3">
      <c r="A4" t="s">
        <v>42</v>
      </c>
      <c r="B4" s="52">
        <v>10000</v>
      </c>
      <c r="C4" s="52"/>
      <c r="D4" s="29">
        <f>SUM(B2:B5)</f>
        <v>13500</v>
      </c>
    </row>
    <row r="5" spans="1:4" x14ac:dyDescent="0.3">
      <c r="A5" t="s">
        <v>31</v>
      </c>
      <c r="B5" s="52">
        <v>3500</v>
      </c>
      <c r="C5" s="53">
        <v>46137</v>
      </c>
    </row>
    <row r="6" spans="1:4" x14ac:dyDescent="0.3">
      <c r="B6" s="55"/>
      <c r="C6" s="53">
        <v>46143</v>
      </c>
      <c r="D6" t="s">
        <v>33</v>
      </c>
    </row>
    <row r="7" spans="1:4" x14ac:dyDescent="0.3">
      <c r="A7" t="s">
        <v>29</v>
      </c>
      <c r="B7" s="51">
        <v>36667</v>
      </c>
      <c r="C7" s="53">
        <v>46155</v>
      </c>
      <c r="D7" s="29">
        <f>SUM(B6:B10)</f>
        <v>72167</v>
      </c>
    </row>
    <row r="8" spans="1:4" x14ac:dyDescent="0.3">
      <c r="A8" t="s">
        <v>35</v>
      </c>
      <c r="B8" s="51">
        <v>22000</v>
      </c>
      <c r="C8" s="53" t="s">
        <v>36</v>
      </c>
      <c r="D8" s="29"/>
    </row>
    <row r="9" spans="1:4" x14ac:dyDescent="0.3">
      <c r="A9" t="s">
        <v>30</v>
      </c>
      <c r="B9" s="52">
        <v>10000</v>
      </c>
      <c r="C9" s="53">
        <v>46165</v>
      </c>
    </row>
    <row r="10" spans="1:4" x14ac:dyDescent="0.3">
      <c r="A10" t="s">
        <v>31</v>
      </c>
      <c r="B10" s="52">
        <v>3500</v>
      </c>
      <c r="C10" s="53">
        <v>46167</v>
      </c>
      <c r="D10" s="42"/>
    </row>
    <row r="11" spans="1:4" x14ac:dyDescent="0.3">
      <c r="A11" t="s">
        <v>32</v>
      </c>
      <c r="B11" s="52">
        <v>15000</v>
      </c>
      <c r="C11" s="54">
        <v>46182</v>
      </c>
      <c r="D11" t="s">
        <v>34</v>
      </c>
    </row>
    <row r="12" spans="1:4" x14ac:dyDescent="0.3">
      <c r="A12" t="s">
        <v>29</v>
      </c>
      <c r="B12" s="51">
        <v>36667</v>
      </c>
      <c r="C12" s="53">
        <v>46186</v>
      </c>
      <c r="D12" s="29">
        <f>SUM(B11:B13)</f>
        <v>55167</v>
      </c>
    </row>
    <row r="13" spans="1:4" x14ac:dyDescent="0.3">
      <c r="A13" t="s">
        <v>31</v>
      </c>
      <c r="B13" s="52">
        <v>3500</v>
      </c>
      <c r="C13" s="54">
        <v>46198</v>
      </c>
    </row>
    <row r="14" spans="1:4" x14ac:dyDescent="0.3">
      <c r="A14" t="s">
        <v>29</v>
      </c>
      <c r="B14" s="51">
        <v>36667</v>
      </c>
      <c r="C14" s="53">
        <v>46216</v>
      </c>
      <c r="D14" t="s">
        <v>37</v>
      </c>
    </row>
    <row r="15" spans="1:4" x14ac:dyDescent="0.3">
      <c r="A15" t="s">
        <v>31</v>
      </c>
      <c r="B15" s="52">
        <v>3500</v>
      </c>
      <c r="C15" s="54">
        <v>46228</v>
      </c>
      <c r="D15" s="56">
        <f>SUM(B14:B15)</f>
        <v>40167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DC91-58EF-418D-9066-1645D8AD2DEC}">
  <dimension ref="A1:H12"/>
  <sheetViews>
    <sheetView workbookViewId="0">
      <selection activeCell="E17" sqref="E17"/>
    </sheetView>
  </sheetViews>
  <sheetFormatPr defaultRowHeight="14.4" x14ac:dyDescent="0.3"/>
  <cols>
    <col min="1" max="1" width="20.33203125" customWidth="1"/>
    <col min="2" max="2" width="17.77734375" customWidth="1"/>
    <col min="3" max="3" width="13.88671875" customWidth="1"/>
    <col min="6" max="6" width="12.88671875" customWidth="1"/>
    <col min="7" max="7" width="18.88671875" customWidth="1"/>
    <col min="8" max="8" width="21.77734375" customWidth="1"/>
  </cols>
  <sheetData>
    <row r="1" spans="1:8" x14ac:dyDescent="0.3">
      <c r="A1" t="s">
        <v>17</v>
      </c>
      <c r="B1" t="s">
        <v>18</v>
      </c>
      <c r="C1" t="s">
        <v>19</v>
      </c>
      <c r="F1" t="s">
        <v>17</v>
      </c>
      <c r="G1" t="s">
        <v>18</v>
      </c>
      <c r="H1" t="s">
        <v>19</v>
      </c>
    </row>
    <row r="2" spans="1:8" x14ac:dyDescent="0.3">
      <c r="A2" t="s">
        <v>38</v>
      </c>
      <c r="B2">
        <v>22533</v>
      </c>
      <c r="C2" s="8" t="s">
        <v>39</v>
      </c>
      <c r="F2" s="1" t="s">
        <v>38</v>
      </c>
      <c r="G2" s="1">
        <v>22533</v>
      </c>
      <c r="H2" s="3" t="s">
        <v>39</v>
      </c>
    </row>
    <row r="3" spans="1:8" x14ac:dyDescent="0.3">
      <c r="A3" t="s">
        <v>50</v>
      </c>
      <c r="B3">
        <v>1000</v>
      </c>
      <c r="C3" s="8">
        <v>46150</v>
      </c>
      <c r="F3" t="s">
        <v>22</v>
      </c>
      <c r="G3">
        <v>25000</v>
      </c>
      <c r="H3" s="8">
        <v>46174</v>
      </c>
    </row>
    <row r="4" spans="1:8" x14ac:dyDescent="0.3">
      <c r="A4" t="s">
        <v>50</v>
      </c>
      <c r="B4">
        <v>1000</v>
      </c>
      <c r="C4" s="8">
        <v>46157</v>
      </c>
      <c r="F4" t="s">
        <v>20</v>
      </c>
      <c r="G4">
        <v>4700</v>
      </c>
      <c r="H4" s="8">
        <v>46177</v>
      </c>
    </row>
    <row r="5" spans="1:8" x14ac:dyDescent="0.3">
      <c r="A5" t="s">
        <v>50</v>
      </c>
      <c r="B5">
        <v>1000</v>
      </c>
      <c r="C5" s="8">
        <v>46164</v>
      </c>
      <c r="F5" t="s">
        <v>21</v>
      </c>
      <c r="G5">
        <v>53000</v>
      </c>
      <c r="H5" s="8">
        <v>46178</v>
      </c>
    </row>
    <row r="6" spans="1:8" x14ac:dyDescent="0.3">
      <c r="A6" t="s">
        <v>22</v>
      </c>
      <c r="B6">
        <v>25000</v>
      </c>
      <c r="C6" s="8">
        <v>46157</v>
      </c>
      <c r="F6" t="s">
        <v>22</v>
      </c>
      <c r="G6">
        <v>25000</v>
      </c>
      <c r="H6" s="8">
        <v>46188</v>
      </c>
    </row>
    <row r="7" spans="1:8" x14ac:dyDescent="0.3">
      <c r="A7" t="s">
        <v>24</v>
      </c>
      <c r="B7">
        <v>18000</v>
      </c>
      <c r="C7" s="8">
        <v>46162</v>
      </c>
      <c r="F7" t="s">
        <v>24</v>
      </c>
      <c r="G7">
        <v>18000</v>
      </c>
      <c r="H7" s="8">
        <v>46193</v>
      </c>
    </row>
    <row r="8" spans="1:8" x14ac:dyDescent="0.3">
      <c r="A8" t="s">
        <v>25</v>
      </c>
      <c r="B8">
        <v>29000</v>
      </c>
      <c r="C8" s="8">
        <v>46172</v>
      </c>
      <c r="F8" s="1" t="s">
        <v>25</v>
      </c>
      <c r="G8" s="1">
        <v>29000</v>
      </c>
      <c r="H8" s="3">
        <v>46203</v>
      </c>
    </row>
    <row r="9" spans="1:8" x14ac:dyDescent="0.3">
      <c r="A9" t="s">
        <v>50</v>
      </c>
      <c r="B9">
        <v>1000</v>
      </c>
      <c r="C9" s="8">
        <v>46171</v>
      </c>
      <c r="H9" s="8"/>
    </row>
    <row r="10" spans="1:8" x14ac:dyDescent="0.3">
      <c r="C10" s="8"/>
      <c r="H10" s="8"/>
    </row>
    <row r="11" spans="1:8" x14ac:dyDescent="0.3">
      <c r="C11" s="8"/>
      <c r="H11" s="8"/>
    </row>
    <row r="12" spans="1:8" x14ac:dyDescent="0.3">
      <c r="A12" s="7" t="s">
        <v>23</v>
      </c>
      <c r="B12" s="7" t="s">
        <v>41</v>
      </c>
      <c r="C12" s="7">
        <f>SUM(B2:B8)</f>
        <v>97533</v>
      </c>
      <c r="F12" s="7" t="s">
        <v>23</v>
      </c>
      <c r="G12" s="7" t="s">
        <v>41</v>
      </c>
      <c r="H12" s="7">
        <f>SUM(G2:G8)</f>
        <v>177233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Sheet1</vt:lpstr>
      <vt:lpstr>Суммы для трат</vt:lpstr>
      <vt:lpstr>сезоны</vt:lpstr>
      <vt:lpstr>годы</vt:lpstr>
      <vt:lpstr>льготные периоды</vt:lpstr>
      <vt:lpstr>траты</vt:lpstr>
      <vt:lpstr>доход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Ульяна Б.</cp:lastModifiedBy>
  <dcterms:created xsi:type="dcterms:W3CDTF">2015-06-05T18:17:20Z</dcterms:created>
  <dcterms:modified xsi:type="dcterms:W3CDTF">2026-05-06T19:08:22Z</dcterms:modified>
</cp:coreProperties>
</file>